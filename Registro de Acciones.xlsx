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gandara\Downloads\"/>
    </mc:Choice>
  </mc:AlternateContent>
  <xr:revisionPtr revIDLastSave="0" documentId="8_{ADD8628D-2F92-45DE-9D9C-AF1648E5A79B}" xr6:coauthVersionLast="47" xr6:coauthVersionMax="47" xr10:uidLastSave="{00000000-0000-0000-0000-000000000000}"/>
  <bookViews>
    <workbookView xWindow="-108" yWindow="-108" windowWidth="23256" windowHeight="12456" activeTab="1" xr2:uid="{C1876447-AED3-47D3-ABE4-C9D0A3F6F882}"/>
  </bookViews>
  <sheets>
    <sheet name="2026" sheetId="8" r:id="rId1"/>
    <sheet name="202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8" l="1"/>
  <c r="C28" i="8"/>
  <c r="C85" i="8"/>
  <c r="A85" i="8"/>
  <c r="I78" i="8"/>
  <c r="J78" i="8"/>
  <c r="K78" i="8" s="1"/>
  <c r="D78" i="8"/>
  <c r="H100" i="8"/>
  <c r="B85" i="8"/>
  <c r="B100" i="8" s="1"/>
  <c r="C100" i="8"/>
  <c r="D85" i="8"/>
  <c r="L78" i="8" l="1"/>
  <c r="I77" i="8"/>
  <c r="J77" i="8"/>
  <c r="K77" i="8" s="1"/>
  <c r="F85" i="8" s="1"/>
  <c r="F100" i="8" s="1"/>
  <c r="D77" i="8"/>
  <c r="E85" i="8" s="1"/>
  <c r="E100" i="8" s="1"/>
  <c r="G27" i="8"/>
  <c r="C27" i="8"/>
  <c r="J92" i="8"/>
  <c r="I76" i="8"/>
  <c r="J76" i="8"/>
  <c r="D76" i="8"/>
  <c r="K92" i="8" s="1"/>
  <c r="G26" i="8"/>
  <c r="C26" i="8"/>
  <c r="J90" i="8"/>
  <c r="J91" i="8"/>
  <c r="J75" i="8"/>
  <c r="D75" i="8"/>
  <c r="K91" i="8" s="1"/>
  <c r="D74" i="8"/>
  <c r="K90" i="8" s="1"/>
  <c r="I74" i="8"/>
  <c r="J74" i="8"/>
  <c r="J89" i="8"/>
  <c r="D73" i="8"/>
  <c r="K89" i="8" s="1"/>
  <c r="I73" i="8"/>
  <c r="J73" i="8"/>
  <c r="J87" i="8"/>
  <c r="J88" i="8"/>
  <c r="I72" i="8"/>
  <c r="J72" i="8"/>
  <c r="D72" i="8"/>
  <c r="K88" i="8" s="1"/>
  <c r="I71" i="8"/>
  <c r="J71" i="8"/>
  <c r="D71" i="8"/>
  <c r="K87" i="8" s="1"/>
  <c r="G25" i="8"/>
  <c r="C25" i="8"/>
  <c r="J86" i="8"/>
  <c r="I70" i="8"/>
  <c r="J70" i="8"/>
  <c r="D70" i="8"/>
  <c r="K86" i="8" s="1"/>
  <c r="J85" i="8"/>
  <c r="I69" i="8"/>
  <c r="J69" i="8"/>
  <c r="D69" i="8"/>
  <c r="K85" i="8" s="1"/>
  <c r="M88" i="8"/>
  <c r="I68" i="8"/>
  <c r="J68" i="8"/>
  <c r="D68" i="8"/>
  <c r="N88" i="8" s="1"/>
  <c r="G24" i="8"/>
  <c r="C24" i="8"/>
  <c r="M87" i="8"/>
  <c r="I67" i="8"/>
  <c r="J67" i="8"/>
  <c r="D67" i="8"/>
  <c r="N87" i="8" s="1"/>
  <c r="M86" i="8"/>
  <c r="I66" i="8"/>
  <c r="J66" i="8"/>
  <c r="D66" i="8"/>
  <c r="N86" i="8" s="1"/>
  <c r="I75" i="8"/>
  <c r="M85" i="8"/>
  <c r="I65" i="8"/>
  <c r="J65" i="8"/>
  <c r="D65" i="8"/>
  <c r="N85" i="8" s="1"/>
  <c r="G22" i="8"/>
  <c r="C22" i="8"/>
  <c r="I53" i="8"/>
  <c r="J53" i="8"/>
  <c r="D53" i="8"/>
  <c r="G12" i="8"/>
  <c r="C12" i="8"/>
  <c r="L34" i="1"/>
  <c r="P97" i="8"/>
  <c r="I64" i="8"/>
  <c r="J64" i="8"/>
  <c r="D64" i="8"/>
  <c r="Q97" i="8" s="1"/>
  <c r="G23" i="8"/>
  <c r="C23" i="8"/>
  <c r="P96" i="8"/>
  <c r="I63" i="8"/>
  <c r="J63" i="8"/>
  <c r="D63" i="8"/>
  <c r="Q96" i="8" s="1"/>
  <c r="P95" i="8"/>
  <c r="I62" i="8"/>
  <c r="J62" i="8"/>
  <c r="D62" i="8"/>
  <c r="Q95" i="8" s="1"/>
  <c r="P94" i="8"/>
  <c r="I61" i="8"/>
  <c r="J61" i="8"/>
  <c r="D61" i="8"/>
  <c r="Q94" i="8" s="1"/>
  <c r="I60" i="8"/>
  <c r="J60" i="8"/>
  <c r="P93" i="8"/>
  <c r="D60" i="8"/>
  <c r="Q93" i="8" s="1"/>
  <c r="P92" i="8"/>
  <c r="I59" i="8"/>
  <c r="J59" i="8"/>
  <c r="D59" i="8"/>
  <c r="Q92" i="8" s="1"/>
  <c r="P91" i="8"/>
  <c r="I58" i="8"/>
  <c r="J58" i="8"/>
  <c r="D58" i="8"/>
  <c r="Q91" i="8" s="1"/>
  <c r="G21" i="8"/>
  <c r="C21" i="8"/>
  <c r="G20" i="8"/>
  <c r="C20" i="8"/>
  <c r="I57" i="8"/>
  <c r="J57" i="8"/>
  <c r="D57" i="8"/>
  <c r="Q90" i="8" s="1"/>
  <c r="P88" i="8"/>
  <c r="P89" i="8"/>
  <c r="P90" i="8"/>
  <c r="I56" i="8"/>
  <c r="J56" i="8"/>
  <c r="D56" i="8"/>
  <c r="Q89" i="8" s="1"/>
  <c r="G19" i="8"/>
  <c r="C19" i="8"/>
  <c r="K68" i="8" l="1"/>
  <c r="O88" i="8" s="1"/>
  <c r="K73" i="8"/>
  <c r="L89" i="8" s="1"/>
  <c r="L77" i="8"/>
  <c r="K70" i="8"/>
  <c r="L86" i="8" s="1"/>
  <c r="L74" i="8"/>
  <c r="L68" i="8"/>
  <c r="L73" i="8"/>
  <c r="L70" i="8"/>
  <c r="K74" i="8"/>
  <c r="L90" i="8" s="1"/>
  <c r="L76" i="8"/>
  <c r="K76" i="8"/>
  <c r="L92" i="8" s="1"/>
  <c r="K75" i="8"/>
  <c r="L91" i="8" s="1"/>
  <c r="L75" i="8"/>
  <c r="L71" i="8"/>
  <c r="K71" i="8"/>
  <c r="L87" i="8" s="1"/>
  <c r="K56" i="8"/>
  <c r="R89" i="8" s="1"/>
  <c r="K72" i="8"/>
  <c r="L88" i="8" s="1"/>
  <c r="L72" i="8"/>
  <c r="K66" i="8"/>
  <c r="O86" i="8" s="1"/>
  <c r="L66" i="8"/>
  <c r="K69" i="8"/>
  <c r="L85" i="8" s="1"/>
  <c r="L69" i="8"/>
  <c r="L67" i="8"/>
  <c r="K67" i="8"/>
  <c r="O87" i="8" s="1"/>
  <c r="K63" i="8"/>
  <c r="R96" i="8" s="1"/>
  <c r="L63" i="8"/>
  <c r="L65" i="8"/>
  <c r="K65" i="8"/>
  <c r="O85" i="8" s="1"/>
  <c r="L53" i="8"/>
  <c r="K53" i="8"/>
  <c r="K64" i="8"/>
  <c r="R97" i="8" s="1"/>
  <c r="L64" i="8"/>
  <c r="K62" i="8"/>
  <c r="R95" i="8" s="1"/>
  <c r="L62" i="8"/>
  <c r="K61" i="8"/>
  <c r="R94" i="8" s="1"/>
  <c r="L61" i="8"/>
  <c r="K60" i="8"/>
  <c r="R93" i="8" s="1"/>
  <c r="L60" i="8"/>
  <c r="K59" i="8"/>
  <c r="R92" i="8" s="1"/>
  <c r="L57" i="8"/>
  <c r="K58" i="8"/>
  <c r="R91" i="8" s="1"/>
  <c r="L59" i="8"/>
  <c r="L58" i="8"/>
  <c r="K57" i="8"/>
  <c r="R90" i="8" s="1"/>
  <c r="L56" i="8"/>
  <c r="I55" i="8"/>
  <c r="J55" i="8"/>
  <c r="D55" i="8"/>
  <c r="Q88" i="8" s="1"/>
  <c r="G18" i="8"/>
  <c r="C18" i="8"/>
  <c r="D41" i="8"/>
  <c r="L55" i="8" l="1"/>
  <c r="K55" i="8"/>
  <c r="R88" i="8" s="1"/>
  <c r="P87" i="8"/>
  <c r="I54" i="8"/>
  <c r="J54" i="8"/>
  <c r="D54" i="8"/>
  <c r="Q87" i="8" s="1"/>
  <c r="L54" i="8" l="1"/>
  <c r="K54" i="8"/>
  <c r="R87" i="8" s="1"/>
  <c r="G17" i="8" l="1"/>
  <c r="C17" i="8"/>
  <c r="G16" i="8"/>
  <c r="C16" i="8"/>
  <c r="G15" i="8"/>
  <c r="C15" i="8"/>
  <c r="P86" i="8"/>
  <c r="P85" i="8"/>
  <c r="I52" i="8"/>
  <c r="J52" i="8"/>
  <c r="D52" i="8"/>
  <c r="Q86" i="8" s="1"/>
  <c r="I51" i="8"/>
  <c r="J51" i="8"/>
  <c r="D51" i="8"/>
  <c r="Q85" i="8" s="1"/>
  <c r="G14" i="8"/>
  <c r="C14" i="8"/>
  <c r="K52" i="8" l="1"/>
  <c r="R86" i="8" s="1"/>
  <c r="L52" i="8"/>
  <c r="L51" i="8"/>
  <c r="K51" i="8"/>
  <c r="R85" i="8" s="1"/>
  <c r="S90" i="8"/>
  <c r="I50" i="8"/>
  <c r="J50" i="8"/>
  <c r="D50" i="8"/>
  <c r="T90" i="8" s="1"/>
  <c r="G13" i="8"/>
  <c r="C13" i="8"/>
  <c r="A41" i="8"/>
  <c r="K34" i="1"/>
  <c r="F105" i="8" l="1"/>
  <c r="C105" i="8"/>
  <c r="J40" i="8"/>
  <c r="J41" i="8"/>
  <c r="L50" i="8"/>
  <c r="K50" i="8"/>
  <c r="U90" i="8" s="1"/>
  <c r="S89" i="8" l="1"/>
  <c r="I49" i="8"/>
  <c r="J49" i="8"/>
  <c r="D49" i="8"/>
  <c r="T89" i="8" s="1"/>
  <c r="Q31" i="1"/>
  <c r="M31" i="1"/>
  <c r="I48" i="8"/>
  <c r="J48" i="8"/>
  <c r="D48" i="8"/>
  <c r="K48" i="8" l="1"/>
  <c r="K49" i="8"/>
  <c r="U89" i="8" s="1"/>
  <c r="L49" i="8"/>
  <c r="L48" i="8"/>
  <c r="U88" i="8" l="1"/>
  <c r="D47" i="8"/>
  <c r="T87" i="8" s="1"/>
  <c r="T88" i="8"/>
  <c r="I47" i="8"/>
  <c r="J47" i="8"/>
  <c r="S86" i="8"/>
  <c r="J46" i="8"/>
  <c r="I46" i="8"/>
  <c r="D46" i="8"/>
  <c r="T86" i="8" s="1"/>
  <c r="R82" i="1"/>
  <c r="Q82" i="1"/>
  <c r="L82" i="1"/>
  <c r="S85" i="8"/>
  <c r="J45" i="8"/>
  <c r="I45" i="8"/>
  <c r="D45" i="8"/>
  <c r="T85" i="8" s="1"/>
  <c r="T100" i="8" s="1"/>
  <c r="S87" i="8"/>
  <c r="R100" i="8"/>
  <c r="O100" i="8"/>
  <c r="L100" i="8"/>
  <c r="L105" i="8" s="1"/>
  <c r="I100" i="8"/>
  <c r="Q100" i="8"/>
  <c r="N100" i="8"/>
  <c r="K100" i="8"/>
  <c r="C3" i="8"/>
  <c r="C4" i="8"/>
  <c r="C5" i="8"/>
  <c r="C6" i="8"/>
  <c r="C7" i="8"/>
  <c r="C8" i="8"/>
  <c r="C9" i="8"/>
  <c r="C10" i="8"/>
  <c r="C11" i="8"/>
  <c r="C2" i="8"/>
  <c r="G11" i="8"/>
  <c r="G10" i="8"/>
  <c r="G9" i="8"/>
  <c r="G8" i="8"/>
  <c r="G7" i="8"/>
  <c r="G6" i="8"/>
  <c r="G5" i="8"/>
  <c r="G4" i="8"/>
  <c r="G3" i="8"/>
  <c r="G2" i="8"/>
  <c r="Q30" i="1"/>
  <c r="M30" i="1"/>
  <c r="Q81" i="1"/>
  <c r="S81" i="1" s="1"/>
  <c r="R81" i="1"/>
  <c r="T81" i="1"/>
  <c r="L81" i="1"/>
  <c r="Q29" i="1"/>
  <c r="M29" i="1"/>
  <c r="T79" i="1"/>
  <c r="T80" i="1"/>
  <c r="Q80" i="1"/>
  <c r="S80" i="1" s="1"/>
  <c r="R80" i="1"/>
  <c r="L80" i="1"/>
  <c r="Q28" i="1"/>
  <c r="M28" i="1"/>
  <c r="Q79" i="1"/>
  <c r="S79" i="1" s="1"/>
  <c r="R79" i="1"/>
  <c r="L79" i="1"/>
  <c r="Q27" i="1"/>
  <c r="M27" i="1"/>
  <c r="Q26" i="1"/>
  <c r="M26" i="1"/>
  <c r="S33" i="1"/>
  <c r="M4" i="1"/>
  <c r="T78" i="1"/>
  <c r="R78" i="1"/>
  <c r="L78" i="1"/>
  <c r="Q25" i="1"/>
  <c r="M25" i="1"/>
  <c r="M24" i="1"/>
  <c r="Q24" i="1"/>
  <c r="Q23" i="1"/>
  <c r="M23" i="1"/>
  <c r="Q77" i="1"/>
  <c r="S77" i="1" s="1"/>
  <c r="R77" i="1"/>
  <c r="T77" i="1"/>
  <c r="L77" i="1"/>
  <c r="Q22" i="1"/>
  <c r="M22" i="1"/>
  <c r="Q76" i="1"/>
  <c r="S76" i="1" s="1"/>
  <c r="R76" i="1"/>
  <c r="T76" i="1"/>
  <c r="L76" i="1"/>
  <c r="S13" i="1"/>
  <c r="T12" i="1"/>
  <c r="T13" i="1" s="1"/>
  <c r="Q78" i="1"/>
  <c r="S78" i="1" s="1"/>
  <c r="Q20" i="1"/>
  <c r="Q21" i="1"/>
  <c r="M20" i="1"/>
  <c r="M21" i="1"/>
  <c r="Q19" i="1"/>
  <c r="M19" i="1"/>
  <c r="I105" i="8" l="1"/>
  <c r="O105" i="8"/>
  <c r="K45" i="8"/>
  <c r="R105" i="8"/>
  <c r="K46" i="8"/>
  <c r="U86" i="8" s="1"/>
  <c r="U85" i="8"/>
  <c r="K47" i="8"/>
  <c r="U87" i="8" s="1"/>
  <c r="L46" i="8"/>
  <c r="L45" i="8"/>
  <c r="S100" i="8"/>
  <c r="T82" i="1"/>
  <c r="L47" i="8"/>
  <c r="S82" i="1"/>
  <c r="L112" i="1"/>
  <c r="Q18" i="1"/>
  <c r="M18" i="1"/>
  <c r="S97" i="1"/>
  <c r="L75" i="1"/>
  <c r="T97" i="1" s="1"/>
  <c r="Q75" i="1"/>
  <c r="S75" i="1" s="1"/>
  <c r="U97" i="1" s="1"/>
  <c r="R75" i="1"/>
  <c r="T75" i="1"/>
  <c r="Q17" i="1"/>
  <c r="M17" i="1"/>
  <c r="S96" i="1"/>
  <c r="S95" i="1"/>
  <c r="R74" i="1"/>
  <c r="Q74" i="1"/>
  <c r="S74" i="1" s="1"/>
  <c r="U96" i="1" s="1"/>
  <c r="T74" i="1"/>
  <c r="L74" i="1"/>
  <c r="T96" i="1" s="1"/>
  <c r="Q16" i="1"/>
  <c r="M16" i="1"/>
  <c r="X109" i="1"/>
  <c r="T83" i="8" s="1"/>
  <c r="W109" i="1"/>
  <c r="L87" i="1"/>
  <c r="L73" i="1"/>
  <c r="T95" i="1" s="1"/>
  <c r="Q73" i="1"/>
  <c r="S73" i="1" s="1"/>
  <c r="U95" i="1" s="1"/>
  <c r="R73" i="1"/>
  <c r="T73" i="1"/>
  <c r="U100" i="8" l="1"/>
  <c r="R72" i="1"/>
  <c r="Q72" i="1"/>
  <c r="S72" i="1" s="1"/>
  <c r="T72" i="1"/>
  <c r="L72" i="1"/>
  <c r="R71" i="1"/>
  <c r="Q71" i="1"/>
  <c r="S71" i="1" s="1"/>
  <c r="T71" i="1"/>
  <c r="L71" i="1"/>
  <c r="C41" i="8" l="1"/>
  <c r="E41" i="8" s="1"/>
  <c r="G41" i="8" s="1"/>
  <c r="Q83" i="8"/>
  <c r="R104" i="8" s="1"/>
  <c r="U105" i="8"/>
  <c r="U104" i="8"/>
  <c r="M15" i="1" l="1"/>
  <c r="Q15" i="1"/>
  <c r="T70" i="1"/>
  <c r="R70" i="1"/>
  <c r="Q70" i="1"/>
  <c r="S70" i="1" s="1"/>
  <c r="L70" i="1"/>
  <c r="Q14" i="1"/>
  <c r="M14" i="1"/>
  <c r="T69" i="1"/>
  <c r="R69" i="1"/>
  <c r="Q69" i="1"/>
  <c r="S69" i="1" s="1"/>
  <c r="L69" i="1"/>
  <c r="M2" i="1"/>
  <c r="L68" i="1"/>
  <c r="Q68" i="1"/>
  <c r="S68" i="1" s="1"/>
  <c r="R68" i="1"/>
  <c r="T68" i="1"/>
  <c r="Q67" i="1"/>
  <c r="S67" i="1" s="1"/>
  <c r="R67" i="1"/>
  <c r="T67" i="1"/>
  <c r="L67" i="1"/>
  <c r="U109" i="1" l="1"/>
  <c r="T109" i="1"/>
  <c r="Q66" i="1" l="1"/>
  <c r="S66" i="1" s="1"/>
  <c r="R66" i="1"/>
  <c r="T66" i="1"/>
  <c r="L66" i="1"/>
  <c r="Q13" i="1"/>
  <c r="M13" i="1"/>
  <c r="T65" i="1" l="1"/>
  <c r="R65" i="1"/>
  <c r="Q65" i="1"/>
  <c r="S65" i="1" s="1"/>
  <c r="L65" i="1"/>
  <c r="T64" i="1"/>
  <c r="R64" i="1"/>
  <c r="Q64" i="1"/>
  <c r="S64" i="1" s="1"/>
  <c r="L64" i="1"/>
  <c r="Q12" i="1" l="1"/>
  <c r="M12" i="1"/>
  <c r="R109" i="1"/>
  <c r="Q63" i="1"/>
  <c r="S63" i="1" s="1"/>
  <c r="R63" i="1"/>
  <c r="T63" i="1"/>
  <c r="L63" i="1"/>
  <c r="Q11" i="1" l="1"/>
  <c r="M11" i="1"/>
  <c r="Q10" i="1"/>
  <c r="M10" i="1"/>
  <c r="Q62" i="1"/>
  <c r="S62" i="1" s="1"/>
  <c r="R62" i="1"/>
  <c r="T62" i="1"/>
  <c r="L62" i="1"/>
  <c r="Q9" i="1"/>
  <c r="M9" i="1"/>
  <c r="Q8" i="1"/>
  <c r="M8" i="1"/>
  <c r="Q7" i="1"/>
  <c r="M7" i="1"/>
  <c r="Q61" i="1"/>
  <c r="S61" i="1" s="1"/>
  <c r="R61" i="1"/>
  <c r="T61" i="1"/>
  <c r="L61" i="1"/>
  <c r="Q109" i="1"/>
  <c r="O109" i="1"/>
  <c r="N109" i="1"/>
  <c r="K109" i="1"/>
  <c r="L109" i="1"/>
  <c r="T60" i="1"/>
  <c r="R60" i="1"/>
  <c r="Q60" i="1"/>
  <c r="S60" i="1" s="1"/>
  <c r="L60" i="1"/>
  <c r="T59" i="1"/>
  <c r="R59" i="1"/>
  <c r="Q59" i="1"/>
  <c r="S59" i="1" s="1"/>
  <c r="L59" i="1"/>
  <c r="T58" i="1"/>
  <c r="L58" i="1"/>
  <c r="Q56" i="1"/>
  <c r="S56" i="1" s="1"/>
  <c r="L57" i="1"/>
  <c r="K35" i="1"/>
  <c r="L31" i="1" s="1"/>
  <c r="N57" i="1"/>
  <c r="T57" i="1" s="1"/>
  <c r="P57" i="1"/>
  <c r="R56" i="1"/>
  <c r="T56" i="1"/>
  <c r="L56" i="1"/>
  <c r="L29" i="1" l="1"/>
  <c r="L30" i="1"/>
  <c r="L27" i="1"/>
  <c r="L28" i="1"/>
  <c r="L26" i="1"/>
  <c r="L24" i="1"/>
  <c r="L25" i="1"/>
  <c r="L22" i="1"/>
  <c r="L23" i="1"/>
  <c r="L20" i="1"/>
  <c r="L21" i="1"/>
  <c r="N87" i="1"/>
  <c r="O112" i="1" s="1"/>
  <c r="L113" i="1"/>
  <c r="L18" i="1"/>
  <c r="L19" i="1"/>
  <c r="L110" i="1"/>
  <c r="L16" i="1"/>
  <c r="L17" i="1"/>
  <c r="L15" i="1"/>
  <c r="L111" i="1"/>
  <c r="L14" i="1"/>
  <c r="L13" i="1"/>
  <c r="L12" i="1"/>
  <c r="L10" i="1"/>
  <c r="L11" i="1"/>
  <c r="L7" i="1"/>
  <c r="L9" i="1"/>
  <c r="L8" i="1"/>
  <c r="R57" i="1"/>
  <c r="Q57" i="1"/>
  <c r="S57" i="1" s="1"/>
  <c r="Q55" i="1"/>
  <c r="S55" i="1" s="1"/>
  <c r="R55" i="1"/>
  <c r="T55" i="1"/>
  <c r="L55" i="1"/>
  <c r="Q2" i="1"/>
  <c r="R54" i="1"/>
  <c r="Q54" i="1"/>
  <c r="S54" i="1" s="1"/>
  <c r="T54" i="1"/>
  <c r="L54" i="1"/>
  <c r="P58" i="1"/>
  <c r="T53" i="1"/>
  <c r="R53" i="1"/>
  <c r="Q53" i="1"/>
  <c r="S53" i="1" s="1"/>
  <c r="L53" i="1"/>
  <c r="Q52" i="1"/>
  <c r="S52" i="1" s="1"/>
  <c r="R52" i="1"/>
  <c r="T52" i="1"/>
  <c r="T51" i="1"/>
  <c r="R51" i="1"/>
  <c r="Q51" i="1"/>
  <c r="S51" i="1" s="1"/>
  <c r="O87" i="1" l="1"/>
  <c r="O111" i="1" s="1"/>
  <c r="O113" i="1"/>
  <c r="Q87" i="1"/>
  <c r="T87" i="1" s="1"/>
  <c r="U113" i="1" s="1"/>
  <c r="R112" i="1"/>
  <c r="R113" i="1"/>
  <c r="O110" i="1"/>
  <c r="R87" i="1"/>
  <c r="R110" i="1" s="1"/>
  <c r="R58" i="1"/>
  <c r="Q58" i="1"/>
  <c r="S58" i="1" s="1"/>
  <c r="R111" i="1" l="1"/>
  <c r="W87" i="1"/>
  <c r="U112" i="1"/>
  <c r="U87" i="1"/>
  <c r="U103" i="8" l="1"/>
  <c r="U83" i="8"/>
  <c r="X112" i="1"/>
  <c r="X113" i="1"/>
  <c r="X87" i="1"/>
  <c r="X111" i="1" s="1"/>
  <c r="U111" i="1"/>
  <c r="U110" i="1"/>
  <c r="I113" i="1" l="1"/>
  <c r="M117" i="1" s="1"/>
  <c r="U102" i="8"/>
  <c r="U101" i="8"/>
  <c r="N83" i="8"/>
  <c r="R103" i="8"/>
  <c r="R83" i="8"/>
  <c r="X110" i="1"/>
  <c r="M120" i="1" l="1"/>
  <c r="M119" i="1"/>
  <c r="N117" i="1"/>
  <c r="L118" i="1" s="1"/>
  <c r="M123" i="1"/>
  <c r="M122" i="1"/>
  <c r="M128" i="1"/>
  <c r="M124" i="1"/>
  <c r="M118" i="1"/>
  <c r="N118" i="1" s="1"/>
  <c r="L119" i="1" s="1"/>
  <c r="N119" i="1" s="1"/>
  <c r="L120" i="1" s="1"/>
  <c r="N120" i="1" s="1"/>
  <c r="L121" i="1" s="1"/>
  <c r="N121" i="1" s="1"/>
  <c r="L122" i="1" s="1"/>
  <c r="N122" i="1" s="1"/>
  <c r="L123" i="1" s="1"/>
  <c r="N123" i="1" s="1"/>
  <c r="L124" i="1" s="1"/>
  <c r="N124" i="1" s="1"/>
  <c r="L125" i="1" s="1"/>
  <c r="N125" i="1" s="1"/>
  <c r="L126" i="1" s="1"/>
  <c r="N126" i="1" s="1"/>
  <c r="L127" i="1" s="1"/>
  <c r="N127" i="1" s="1"/>
  <c r="L128" i="1" s="1"/>
  <c r="N128" i="1" s="1"/>
  <c r="M127" i="1"/>
  <c r="M121" i="1"/>
  <c r="M125" i="1"/>
  <c r="M126" i="1"/>
  <c r="R101" i="8"/>
  <c r="R102" i="8"/>
  <c r="O83" i="8"/>
  <c r="O101" i="8" s="1"/>
  <c r="O103" i="8"/>
  <c r="K83" i="8"/>
  <c r="O104" i="8"/>
  <c r="O102" i="8" l="1"/>
  <c r="L103" i="8"/>
  <c r="H83" i="8"/>
  <c r="E83" i="8" s="1"/>
  <c r="B83" i="8" s="1"/>
  <c r="L104" i="8"/>
  <c r="L83" i="8"/>
  <c r="C83" i="8" l="1"/>
  <c r="C104" i="8"/>
  <c r="C103" i="8"/>
  <c r="F103" i="8"/>
  <c r="F83" i="8"/>
  <c r="F104" i="8"/>
  <c r="L102" i="8"/>
  <c r="L101" i="8"/>
  <c r="I103" i="8"/>
  <c r="I83" i="8"/>
  <c r="I104" i="8"/>
  <c r="G38" i="1"/>
  <c r="C102" i="8" l="1"/>
  <c r="C101" i="8"/>
  <c r="F102" i="8"/>
  <c r="F101" i="8"/>
  <c r="I102" i="8"/>
  <c r="I101" i="8"/>
  <c r="L49" i="1"/>
  <c r="L50" i="1"/>
  <c r="L51" i="1"/>
  <c r="L52" i="1"/>
  <c r="Q50" i="1"/>
  <c r="S50" i="1" s="1"/>
  <c r="R50" i="1"/>
  <c r="T50" i="1"/>
  <c r="R49" i="1"/>
  <c r="Q49" i="1"/>
  <c r="S49" i="1" s="1"/>
  <c r="T49" i="1"/>
  <c r="L48" i="1"/>
  <c r="T48" i="1"/>
  <c r="Q48" i="1"/>
  <c r="S48" i="1" s="1"/>
  <c r="Q47" i="1"/>
  <c r="S47" i="1" s="1"/>
  <c r="R47" i="1"/>
  <c r="R48" i="1"/>
  <c r="T47" i="1"/>
  <c r="L47" i="1"/>
  <c r="Q46" i="1"/>
  <c r="S46" i="1" s="1"/>
  <c r="R46" i="1"/>
  <c r="T46" i="1"/>
  <c r="L46" i="1"/>
  <c r="Q44" i="1"/>
  <c r="S44" i="1" s="1"/>
  <c r="R40" i="1"/>
  <c r="R41" i="1"/>
  <c r="R42" i="1"/>
  <c r="R43" i="1"/>
  <c r="R44" i="1"/>
  <c r="R45" i="1"/>
  <c r="R39" i="1"/>
  <c r="Q40" i="1"/>
  <c r="S40" i="1" s="1"/>
  <c r="Q41" i="1"/>
  <c r="S41" i="1" s="1"/>
  <c r="Q42" i="1"/>
  <c r="S42" i="1" s="1"/>
  <c r="Q43" i="1"/>
  <c r="S43" i="1" s="1"/>
  <c r="Q45" i="1"/>
  <c r="S45" i="1" s="1"/>
  <c r="Q39" i="1"/>
  <c r="S39" i="1" s="1"/>
  <c r="T45" i="1"/>
  <c r="T39" i="1"/>
  <c r="T40" i="1"/>
  <c r="T41" i="1"/>
  <c r="T42" i="1"/>
  <c r="T43" i="1"/>
  <c r="T44" i="1"/>
  <c r="S84" i="1" l="1"/>
  <c r="L45" i="1" l="1"/>
  <c r="L44" i="1"/>
  <c r="F39" i="1"/>
  <c r="Q6" i="1"/>
  <c r="M6" i="1"/>
  <c r="Q3" i="1" l="1"/>
  <c r="Q4" i="1"/>
  <c r="M3" i="1"/>
  <c r="L43" i="1" l="1"/>
  <c r="L40" i="1" l="1"/>
  <c r="L42" i="1"/>
  <c r="L39" i="1" l="1"/>
  <c r="L41" i="1"/>
  <c r="F41" i="1"/>
  <c r="F7" i="1"/>
  <c r="C39" i="1"/>
  <c r="C40" i="1"/>
  <c r="C43" i="1"/>
  <c r="C44" i="1"/>
  <c r="C45" i="1"/>
  <c r="C46" i="1"/>
  <c r="C47" i="1"/>
  <c r="C48" i="1"/>
  <c r="F15" i="1"/>
  <c r="F2" i="1"/>
  <c r="C20" i="1"/>
  <c r="C5" i="1"/>
  <c r="C8" i="1"/>
  <c r="L2" i="1" l="1"/>
  <c r="L6" i="1"/>
  <c r="L3" i="1"/>
  <c r="L4" i="1"/>
  <c r="F48" i="1"/>
  <c r="F45" i="1"/>
  <c r="F44" i="1"/>
  <c r="F42" i="1"/>
  <c r="F43" i="1"/>
  <c r="F40" i="1"/>
  <c r="F47" i="1"/>
  <c r="F46" i="1"/>
  <c r="F49" i="1"/>
  <c r="F50" i="1"/>
  <c r="C42" i="1"/>
  <c r="C41" i="1"/>
  <c r="M34" i="1" l="1"/>
  <c r="O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ggandara</author>
  </authors>
  <commentList>
    <comment ref="A39" authorId="0" shapeId="0" xr:uid="{CD85D8B2-0250-473B-9E62-EB86C7846E6C}">
      <text>
        <r>
          <rPr>
            <b/>
            <sz val="9"/>
            <color indexed="81"/>
            <rFont val="Tahoma"/>
            <family val="2"/>
          </rPr>
          <t>15/08/2025  Primer deposito       $63.02
12/09/2025  Segundo deposito   $53.12
07/10/2025  Tercer deposito       $80.23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24/11/2025   Cuato deposito       $111.06</t>
        </r>
      </text>
    </comment>
    <comment ref="A41" authorId="0" shapeId="0" xr:uid="{8EADCF30-F830-4819-A240-AE77661AD5F4}">
      <text>
        <r>
          <rPr>
            <b/>
            <sz val="9"/>
            <color indexed="81"/>
            <rFont val="Tahoma"/>
            <family val="2"/>
          </rPr>
          <t>27/01/2026  Quinto deposito  $310.45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1" authorId="0" shapeId="0" xr:uid="{210FADE2-EB1F-4F37-8E63-8B9EE347C261}">
      <text>
        <r>
          <rPr>
            <b/>
            <sz val="9"/>
            <color indexed="81"/>
            <rFont val="Tahoma"/>
            <family val="2"/>
          </rPr>
          <t>Se genero de la inversion inicial + Dividendos + Utilidades por compra venta de acciones en el 2025</t>
        </r>
      </text>
    </comment>
    <comment ref="D41" authorId="0" shapeId="0" xr:uid="{080B94E8-51E8-4DAA-B5B3-0016A1F25106}">
      <text>
        <r>
          <rPr>
            <b/>
            <sz val="9"/>
            <color indexed="81"/>
            <rFont val="Tahoma"/>
            <family val="2"/>
          </rPr>
          <t xml:space="preserve">Dividendos menos comisiones 2026:
</t>
        </r>
        <r>
          <rPr>
            <sz val="9"/>
            <color indexed="81"/>
            <rFont val="Tahoma"/>
            <family val="2"/>
          </rPr>
          <t xml:space="preserve">KMB  +0.13
NIO  -0.02
LI      -0.01
PEP    +0.09
O        +0.05 
GOOD  +0.08
T       +0.12
VZ     +0.17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ggandara</author>
  </authors>
  <commentList>
    <comment ref="J34" authorId="0" shapeId="0" xr:uid="{14DE7B59-F8AF-45D5-B481-0158D4DBDDC9}">
      <text>
        <r>
          <rPr>
            <b/>
            <sz val="9"/>
            <color indexed="81"/>
            <rFont val="Tahoma"/>
            <family val="2"/>
          </rPr>
          <t>15/08/2025  Primer deposito       $63.02
12/09/2025  Segundo deposito   $53.12
07/10/2025  Tercer deposito       $80.23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24/11/2025   Cuato deposito       $111.06
</t>
        </r>
      </text>
    </comment>
    <comment ref="J35" authorId="0" shapeId="0" xr:uid="{319BCE0A-372C-4154-8DF8-42AF0692D522}">
      <text>
        <r>
          <rPr>
            <b/>
            <sz val="9"/>
            <color indexed="81"/>
            <rFont val="Tahoma"/>
            <family val="2"/>
          </rPr>
          <t>Datos de formula NO BORRAR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5" authorId="0" shapeId="0" xr:uid="{539FA2DC-2B7D-4C88-A9D9-E18FD4E2310C}">
      <text>
        <r>
          <rPr>
            <b/>
            <sz val="9"/>
            <color indexed="81"/>
            <rFont val="Tahoma"/>
            <family val="2"/>
          </rPr>
          <t xml:space="preserve">DATO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 xr:uid="{131A7FCB-F8C5-4826-A13C-F549E57726BC}">
      <text>
        <r>
          <rPr>
            <b/>
            <sz val="9"/>
            <color indexed="81"/>
            <rFont val="Tahoma"/>
            <family val="2"/>
          </rPr>
          <t xml:space="preserve">EUROS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84" authorId="0" shapeId="0" xr:uid="{AB9CD752-D297-415D-AAF2-35A7D8985FFB}">
      <text>
        <r>
          <rPr>
            <b/>
            <sz val="9"/>
            <color indexed="81"/>
            <rFont val="Tahoma"/>
            <family val="2"/>
          </rPr>
          <t xml:space="preserve">UTILIDAD TOTAL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<sst xmlns="http://schemas.openxmlformats.org/spreadsheetml/2006/main" count="399" uniqueCount="153">
  <si>
    <t>MAGH</t>
  </si>
  <si>
    <t>EFTY</t>
  </si>
  <si>
    <t>CTW</t>
  </si>
  <si>
    <t>ALK</t>
  </si>
  <si>
    <t>RUBI</t>
  </si>
  <si>
    <t>AVBC</t>
  </si>
  <si>
    <t>SI</t>
  </si>
  <si>
    <t>MH</t>
  </si>
  <si>
    <t>CARL</t>
  </si>
  <si>
    <t>MGRT</t>
  </si>
  <si>
    <t>SYBD</t>
  </si>
  <si>
    <t>DMYY</t>
  </si>
  <si>
    <t>ARAI</t>
  </si>
  <si>
    <t>RTAC</t>
  </si>
  <si>
    <t>BRR</t>
  </si>
  <si>
    <t>DN3</t>
  </si>
  <si>
    <t>DEFS</t>
  </si>
  <si>
    <t>AINF</t>
  </si>
  <si>
    <t>DFND</t>
  </si>
  <si>
    <t>DFNC</t>
  </si>
  <si>
    <t>Compra</t>
  </si>
  <si>
    <t>Venta</t>
  </si>
  <si>
    <t>CEPF</t>
  </si>
  <si>
    <t>G1CD</t>
  </si>
  <si>
    <t>XZMD</t>
  </si>
  <si>
    <t>ZENA</t>
  </si>
  <si>
    <t>AÑOS</t>
  </si>
  <si>
    <t>Valor</t>
  </si>
  <si>
    <t>Mes</t>
  </si>
  <si>
    <t>SUNRUN</t>
  </si>
  <si>
    <t>ACCION</t>
  </si>
  <si>
    <t>KVUE</t>
  </si>
  <si>
    <t>HST</t>
  </si>
  <si>
    <t>ALERTA</t>
  </si>
  <si>
    <t>COMPRADA</t>
  </si>
  <si>
    <t>VENDIDA</t>
  </si>
  <si>
    <t>UTILIDAD</t>
  </si>
  <si>
    <t>COMPRA</t>
  </si>
  <si>
    <t>VENTA</t>
  </si>
  <si>
    <t xml:space="preserve">MES </t>
  </si>
  <si>
    <t>ACCIONES</t>
  </si>
  <si>
    <t>AES</t>
  </si>
  <si>
    <t>MUFG</t>
  </si>
  <si>
    <t>DIAS EN CARTERA</t>
  </si>
  <si>
    <t>INICIAL</t>
  </si>
  <si>
    <t xml:space="preserve">INVERSION </t>
  </si>
  <si>
    <t>% UTLIDAD</t>
  </si>
  <si>
    <t>KLSC</t>
  </si>
  <si>
    <t>% DE UTILIDAD</t>
  </si>
  <si>
    <t>CROX</t>
  </si>
  <si>
    <t xml:space="preserve"> INVERSION</t>
  </si>
  <si>
    <t>NOMD</t>
  </si>
  <si>
    <t>BRZE</t>
  </si>
  <si>
    <t>CVX</t>
  </si>
  <si>
    <t>PEP</t>
  </si>
  <si>
    <t>UL</t>
  </si>
  <si>
    <t>MSFT</t>
  </si>
  <si>
    <t>UNH</t>
  </si>
  <si>
    <t>T</t>
  </si>
  <si>
    <t>CLSK</t>
  </si>
  <si>
    <t>ADT</t>
  </si>
  <si>
    <t>PATH</t>
  </si>
  <si>
    <t>WMG</t>
  </si>
  <si>
    <t>DKNG</t>
  </si>
  <si>
    <t>CLF</t>
  </si>
  <si>
    <t>INVERSION</t>
  </si>
  <si>
    <t>ACCIO. VENDIDAS</t>
  </si>
  <si>
    <t>RETIRO</t>
  </si>
  <si>
    <t>ACUMULADO</t>
  </si>
  <si>
    <t>INFY</t>
  </si>
  <si>
    <t>CTO</t>
  </si>
  <si>
    <t>BTBD</t>
  </si>
  <si>
    <t>RZLV</t>
  </si>
  <si>
    <t>DIAS</t>
  </si>
  <si>
    <t>TOTAL</t>
  </si>
  <si>
    <t>STLA</t>
  </si>
  <si>
    <t>NIO</t>
  </si>
  <si>
    <t>PBR/A</t>
  </si>
  <si>
    <t>HIMX</t>
  </si>
  <si>
    <t>SMFG</t>
  </si>
  <si>
    <t>RUN</t>
  </si>
  <si>
    <t>ASLE</t>
  </si>
  <si>
    <t>ATEN</t>
  </si>
  <si>
    <t>AMPL</t>
  </si>
  <si>
    <t>NEXT</t>
  </si>
  <si>
    <t>TAK</t>
  </si>
  <si>
    <t>STM</t>
  </si>
  <si>
    <t>UMC</t>
  </si>
  <si>
    <t>MLCO</t>
  </si>
  <si>
    <t>HCM</t>
  </si>
  <si>
    <t>LI</t>
  </si>
  <si>
    <t>BEKE</t>
  </si>
  <si>
    <t>INTC</t>
  </si>
  <si>
    <t>GOOD</t>
  </si>
  <si>
    <t>APLE</t>
  </si>
  <si>
    <t>RITM</t>
  </si>
  <si>
    <t>PFE</t>
  </si>
  <si>
    <t>AAL</t>
  </si>
  <si>
    <t>VF</t>
  </si>
  <si>
    <t>JD</t>
  </si>
  <si>
    <t>PINS</t>
  </si>
  <si>
    <t>TTSH</t>
  </si>
  <si>
    <t>HOY</t>
  </si>
  <si>
    <t>PYPL</t>
  </si>
  <si>
    <t>Noviembre</t>
  </si>
  <si>
    <t>Inicia</t>
  </si>
  <si>
    <t>Objetivo</t>
  </si>
  <si>
    <t>Octubre</t>
  </si>
  <si>
    <t>Resultado</t>
  </si>
  <si>
    <t>Septiembre</t>
  </si>
  <si>
    <t>Agosto</t>
  </si>
  <si>
    <t>% de logro</t>
  </si>
  <si>
    <t>Diciembre</t>
  </si>
  <si>
    <t>LPL</t>
  </si>
  <si>
    <t>Objetivo en  $</t>
  </si>
  <si>
    <t>VZ</t>
  </si>
  <si>
    <t>% de logro.</t>
  </si>
  <si>
    <t>%  Total</t>
  </si>
  <si>
    <t>% Prom Anual</t>
  </si>
  <si>
    <t>CRM</t>
  </si>
  <si>
    <t>LIN</t>
  </si>
  <si>
    <t>KMB</t>
  </si>
  <si>
    <t>PKOH</t>
  </si>
  <si>
    <t>DIVIDENDOS</t>
  </si>
  <si>
    <t>UTILIDAD VENTA</t>
  </si>
  <si>
    <t>PENG</t>
  </si>
  <si>
    <t>O</t>
  </si>
  <si>
    <t>BYD</t>
  </si>
  <si>
    <t>Enero</t>
  </si>
  <si>
    <t>Febrero</t>
  </si>
  <si>
    <t>Marzo</t>
  </si>
  <si>
    <t>Abril</t>
  </si>
  <si>
    <t>Mayo</t>
  </si>
  <si>
    <t>TGT</t>
  </si>
  <si>
    <t>OXY</t>
  </si>
  <si>
    <t>DEPOSITOS</t>
  </si>
  <si>
    <t>ADBE</t>
  </si>
  <si>
    <t>UPS</t>
  </si>
  <si>
    <t>% De Depositos</t>
  </si>
  <si>
    <t>NFLX</t>
  </si>
  <si>
    <t>ARRY</t>
  </si>
  <si>
    <t>BMRN</t>
  </si>
  <si>
    <t>LNC</t>
  </si>
  <si>
    <t>BYDDY</t>
  </si>
  <si>
    <t>TRU</t>
  </si>
  <si>
    <t>NKE</t>
  </si>
  <si>
    <t>STZ</t>
  </si>
  <si>
    <t>ESTC</t>
  </si>
  <si>
    <t>CSGP</t>
  </si>
  <si>
    <t>AMBA</t>
  </si>
  <si>
    <t>Junio</t>
  </si>
  <si>
    <t>Jul</t>
  </si>
  <si>
    <t>PKX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</si>
</sst>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.000_-;\-&quot;$&quot;* #,##0.000_-;_-&quot;$&quot;* &quot;-&quot;??_-;_-@_-"/>
    <numFmt numFmtId="166" formatCode="0.0%"/>
    <numFmt numFmtId="167" formatCode="0.00000000"/>
    <numFmt numFmtId="169" formatCode="_-&quot;$&quot;* #,##0_-;\-&quot;$&quot;* #,##0_-;_-&quot;$&quot;* &quot;-&quot;??_-;_-@_-"/>
    <numFmt numFmtId="170" formatCode="0.0"/>
    <numFmt numFmtId="171" formatCode="0.00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3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  <xf numFmtId="9" fontId="0" fillId="0" borderId="0" xfId="2" applyFont="1"/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2" borderId="0" xfId="1" applyFont="1" applyFill="1" applyBorder="1" applyAlignment="1">
      <alignment horizontal="center"/>
    </xf>
    <xf numFmtId="44" fontId="0" fillId="0" borderId="7" xfId="1" applyFont="1" applyBorder="1" applyAlignment="1">
      <alignment horizontal="center"/>
    </xf>
    <xf numFmtId="44" fontId="0" fillId="0" borderId="4" xfId="1" applyFont="1" applyBorder="1"/>
    <xf numFmtId="44" fontId="0" fillId="0" borderId="0" xfId="1" applyFont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 applyAlignment="1">
      <alignment horizontal="center"/>
    </xf>
    <xf numFmtId="14" fontId="0" fillId="0" borderId="0" xfId="0" applyNumberFormat="1"/>
    <xf numFmtId="44" fontId="0" fillId="0" borderId="5" xfId="0" applyNumberFormat="1" applyBorder="1"/>
    <xf numFmtId="44" fontId="0" fillId="2" borderId="0" xfId="1" applyFont="1" applyFill="1" applyBorder="1"/>
    <xf numFmtId="44" fontId="0" fillId="2" borderId="4" xfId="1" applyFont="1" applyFill="1" applyBorder="1"/>
    <xf numFmtId="14" fontId="0" fillId="0" borderId="1" xfId="0" applyNumberFormat="1" applyBorder="1"/>
    <xf numFmtId="44" fontId="0" fillId="0" borderId="5" xfId="1" applyFont="1" applyBorder="1"/>
    <xf numFmtId="0" fontId="0" fillId="2" borderId="4" xfId="0" applyFill="1" applyBorder="1"/>
    <xf numFmtId="44" fontId="0" fillId="0" borderId="7" xfId="1" applyFont="1" applyBorder="1"/>
    <xf numFmtId="44" fontId="0" fillId="0" borderId="8" xfId="1" applyFont="1" applyBorder="1"/>
    <xf numFmtId="44" fontId="0" fillId="3" borderId="5" xfId="0" applyNumberFormat="1" applyFill="1" applyBorder="1"/>
    <xf numFmtId="17" fontId="0" fillId="0" borderId="0" xfId="0" applyNumberFormat="1"/>
    <xf numFmtId="44" fontId="0" fillId="0" borderId="0" xfId="1" applyFont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44" fontId="2" fillId="0" borderId="0" xfId="0" applyNumberFormat="1" applyFont="1"/>
    <xf numFmtId="0" fontId="2" fillId="0" borderId="10" xfId="0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10" xfId="0" applyBorder="1"/>
    <xf numFmtId="44" fontId="2" fillId="0" borderId="9" xfId="0" applyNumberFormat="1" applyFont="1" applyBorder="1"/>
    <xf numFmtId="14" fontId="2" fillId="0" borderId="8" xfId="0" applyNumberFormat="1" applyFon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10" fontId="0" fillId="0" borderId="9" xfId="2" applyNumberFormat="1" applyFont="1" applyBorder="1" applyAlignment="1">
      <alignment horizontal="center"/>
    </xf>
    <xf numFmtId="43" fontId="0" fillId="0" borderId="0" xfId="3" applyFont="1" applyFill="1" applyBorder="1"/>
    <xf numFmtId="43" fontId="0" fillId="0" borderId="0" xfId="0" applyNumberFormat="1"/>
    <xf numFmtId="17" fontId="5" fillId="0" borderId="0" xfId="0" applyNumberFormat="1" applyFont="1"/>
    <xf numFmtId="43" fontId="5" fillId="0" borderId="0" xfId="3" applyFont="1" applyFill="1" applyBorder="1"/>
    <xf numFmtId="0" fontId="5" fillId="0" borderId="0" xfId="0" applyFont="1"/>
    <xf numFmtId="17" fontId="6" fillId="0" borderId="0" xfId="0" applyNumberFormat="1" applyFont="1"/>
    <xf numFmtId="43" fontId="6" fillId="0" borderId="0" xfId="3" applyFont="1" applyFill="1" applyBorder="1"/>
    <xf numFmtId="0" fontId="6" fillId="0" borderId="0" xfId="0" applyFont="1"/>
    <xf numFmtId="0" fontId="2" fillId="0" borderId="0" xfId="0" applyFont="1"/>
    <xf numFmtId="166" fontId="0" fillId="0" borderId="0" xfId="2" applyNumberFormat="1" applyFont="1"/>
    <xf numFmtId="10" fontId="0" fillId="0" borderId="0" xfId="2" applyNumberFormat="1" applyFont="1"/>
    <xf numFmtId="44" fontId="0" fillId="0" borderId="0" xfId="1" applyFont="1" applyFill="1" applyBorder="1" applyAlignment="1">
      <alignment horizontal="center"/>
    </xf>
    <xf numFmtId="44" fontId="0" fillId="0" borderId="9" xfId="1" applyFont="1" applyBorder="1" applyAlignment="1">
      <alignment horizontal="center"/>
    </xf>
    <xf numFmtId="9" fontId="0" fillId="0" borderId="0" xfId="0" applyNumberFormat="1"/>
    <xf numFmtId="44" fontId="0" fillId="0" borderId="0" xfId="1" applyFont="1" applyFill="1" applyBorder="1" applyAlignment="1"/>
    <xf numFmtId="0" fontId="5" fillId="0" borderId="0" xfId="0" applyFont="1" applyAlignment="1">
      <alignment horizontal="center"/>
    </xf>
    <xf numFmtId="14" fontId="0" fillId="0" borderId="0" xfId="1" applyNumberFormat="1" applyFont="1" applyBorder="1" applyAlignment="1">
      <alignment horizontal="center"/>
    </xf>
    <xf numFmtId="44" fontId="0" fillId="3" borderId="0" xfId="1" applyFont="1" applyFill="1" applyBorder="1" applyAlignment="1"/>
    <xf numFmtId="44" fontId="0" fillId="3" borderId="0" xfId="1" applyFont="1" applyFill="1"/>
    <xf numFmtId="44" fontId="0" fillId="4" borderId="0" xfId="1" applyFont="1" applyFill="1" applyAlignment="1">
      <alignment horizontal="center"/>
    </xf>
    <xf numFmtId="44" fontId="0" fillId="5" borderId="0" xfId="0" applyNumberFormat="1" applyFill="1"/>
    <xf numFmtId="44" fontId="0" fillId="0" borderId="0" xfId="1" applyFont="1" applyFill="1"/>
    <xf numFmtId="167" fontId="0" fillId="0" borderId="0" xfId="0" applyNumberFormat="1"/>
    <xf numFmtId="167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4" fontId="0" fillId="6" borderId="0" xfId="1" applyFont="1" applyFill="1"/>
    <xf numFmtId="0" fontId="8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44" fontId="2" fillId="0" borderId="11" xfId="0" applyNumberFormat="1" applyFont="1" applyBorder="1"/>
    <xf numFmtId="44" fontId="0" fillId="0" borderId="0" xfId="0" applyNumberFormat="1" applyAlignment="1">
      <alignment horizontal="center"/>
    </xf>
    <xf numFmtId="44" fontId="0" fillId="0" borderId="16" xfId="0" applyNumberFormat="1" applyBorder="1" applyAlignment="1">
      <alignment horizontal="center"/>
    </xf>
    <xf numFmtId="44" fontId="0" fillId="0" borderId="17" xfId="0" applyNumberFormat="1" applyBorder="1" applyAlignment="1">
      <alignment horizontal="center"/>
    </xf>
    <xf numFmtId="44" fontId="5" fillId="0" borderId="0" xfId="0" applyNumberFormat="1" applyFont="1"/>
    <xf numFmtId="9" fontId="0" fillId="0" borderId="0" xfId="2" applyFont="1" applyFill="1" applyBorder="1"/>
    <xf numFmtId="43" fontId="6" fillId="0" borderId="0" xfId="3" applyFont="1"/>
    <xf numFmtId="169" fontId="6" fillId="0" borderId="0" xfId="1" applyNumberFormat="1" applyFont="1" applyAlignment="1">
      <alignment horizontal="center"/>
    </xf>
    <xf numFmtId="44" fontId="6" fillId="0" borderId="0" xfId="1" applyFont="1" applyAlignment="1">
      <alignment horizontal="center"/>
    </xf>
    <xf numFmtId="44" fontId="9" fillId="0" borderId="0" xfId="0" applyNumberFormat="1" applyFont="1"/>
    <xf numFmtId="0" fontId="0" fillId="7" borderId="0" xfId="0" applyFill="1" applyAlignment="1">
      <alignment horizontal="center"/>
    </xf>
    <xf numFmtId="10" fontId="0" fillId="0" borderId="0" xfId="0" applyNumberFormat="1"/>
    <xf numFmtId="10" fontId="6" fillId="0" borderId="0" xfId="2" applyNumberFormat="1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44" fontId="0" fillId="0" borderId="18" xfId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4" fontId="0" fillId="0" borderId="6" xfId="0" applyNumberFormat="1" applyBorder="1" applyAlignment="1">
      <alignment horizontal="center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horizontal="center" vertical="center" wrapText="1"/>
    </xf>
    <xf numFmtId="44" fontId="0" fillId="0" borderId="24" xfId="1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44" fontId="0" fillId="0" borderId="18" xfId="2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8" xfId="0" applyBorder="1" applyAlignment="1">
      <alignment horizontal="center"/>
    </xf>
    <xf numFmtId="43" fontId="0" fillId="0" borderId="0" xfId="3" applyFont="1" applyFill="1" applyBorder="1" applyAlignment="1">
      <alignment horizontal="center"/>
    </xf>
    <xf numFmtId="8" fontId="0" fillId="0" borderId="0" xfId="1" applyNumberFormat="1" applyFont="1"/>
    <xf numFmtId="170" fontId="2" fillId="0" borderId="11" xfId="0" applyNumberFormat="1" applyFont="1" applyBorder="1" applyAlignment="1">
      <alignment horizontal="center"/>
    </xf>
    <xf numFmtId="171" fontId="0" fillId="0" borderId="0" xfId="2" applyNumberFormat="1" applyFont="1"/>
    <xf numFmtId="0" fontId="10" fillId="0" borderId="0" xfId="3" applyNumberFormat="1" applyFont="1" applyFill="1" applyBorder="1" applyAlignment="1">
      <alignment horizontal="center"/>
    </xf>
    <xf numFmtId="44" fontId="0" fillId="0" borderId="0" xfId="1" applyFont="1" applyFill="1" applyAlignment="1">
      <alignment horizontal="center"/>
    </xf>
    <xf numFmtId="44" fontId="0" fillId="6" borderId="0" xfId="1" applyFont="1" applyFill="1" applyAlignment="1">
      <alignment horizontal="center"/>
    </xf>
    <xf numFmtId="44" fontId="0" fillId="3" borderId="0" xfId="1" applyFont="1" applyFill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37DC4-9E35-4D04-8761-DFC0FFC7E0E1}">
  <dimension ref="A1:AA112"/>
  <sheetViews>
    <sheetView topLeftCell="A15" workbookViewId="0">
      <selection activeCell="I19" sqref="I19"/>
    </sheetView>
  </sheetViews>
  <sheetFormatPr baseColWidth="10" defaultRowHeight="14.4" x14ac:dyDescent="0.3"/>
  <cols>
    <col min="2" max="2" width="14.109375" bestFit="1" customWidth="1"/>
    <col min="3" max="3" width="18.21875" customWidth="1"/>
    <col min="4" max="4" width="13" customWidth="1"/>
    <col min="5" max="5" width="14.109375" bestFit="1" customWidth="1"/>
    <col min="6" max="6" width="13.6640625" customWidth="1"/>
    <col min="8" max="8" width="14.109375" bestFit="1" customWidth="1"/>
    <col min="9" max="9" width="14" bestFit="1" customWidth="1"/>
    <col min="10" max="10" width="11.44140625" customWidth="1"/>
    <col min="11" max="11" width="14.109375" bestFit="1" customWidth="1"/>
    <col min="12" max="12" width="12.44140625" bestFit="1" customWidth="1"/>
    <col min="13" max="13" width="14" bestFit="1" customWidth="1"/>
    <col min="14" max="14" width="14.109375" bestFit="1" customWidth="1"/>
    <col min="17" max="17" width="14.109375" bestFit="1" customWidth="1"/>
    <col min="20" max="20" width="14.109375" bestFit="1" customWidth="1"/>
    <col min="21" max="21" width="14" bestFit="1" customWidth="1"/>
  </cols>
  <sheetData>
    <row r="1" spans="1:12" ht="18.600000000000001" customHeight="1" x14ac:dyDescent="0.3">
      <c r="A1" s="24"/>
      <c r="B1" s="3" t="s">
        <v>37</v>
      </c>
      <c r="C1" s="3" t="s">
        <v>43</v>
      </c>
      <c r="D1" s="3" t="s">
        <v>30</v>
      </c>
      <c r="E1" s="3" t="s">
        <v>37</v>
      </c>
      <c r="F1" s="3" t="s">
        <v>40</v>
      </c>
      <c r="G1" s="3" t="s">
        <v>50</v>
      </c>
      <c r="H1" s="3" t="s">
        <v>38</v>
      </c>
    </row>
    <row r="2" spans="1:12" x14ac:dyDescent="0.3">
      <c r="A2">
        <v>1</v>
      </c>
      <c r="B2" s="37">
        <v>45895</v>
      </c>
      <c r="C2" s="3">
        <f ca="1">TODAY()-B2</f>
        <v>323</v>
      </c>
      <c r="D2" s="3" t="s">
        <v>31</v>
      </c>
      <c r="E2" s="1">
        <v>21.145000000000003</v>
      </c>
      <c r="F2" s="69">
        <v>1.8044631</v>
      </c>
      <c r="G2" s="67">
        <f t="shared" ref="G2:G4" si="0">E2*F2</f>
        <v>38.155372249500005</v>
      </c>
    </row>
    <row r="3" spans="1:12" x14ac:dyDescent="0.3">
      <c r="A3">
        <v>2</v>
      </c>
      <c r="B3" s="37">
        <v>45915</v>
      </c>
      <c r="C3" s="3">
        <f t="shared" ref="C3:C4" ca="1" si="1">TODAY()-B3</f>
        <v>303</v>
      </c>
      <c r="D3" s="3" t="s">
        <v>51</v>
      </c>
      <c r="E3" s="1">
        <v>14.18</v>
      </c>
      <c r="F3" s="69">
        <v>0.70521860999999997</v>
      </c>
      <c r="G3" s="2">
        <f t="shared" si="0"/>
        <v>9.9999998897999998</v>
      </c>
    </row>
    <row r="4" spans="1:12" x14ac:dyDescent="0.3">
      <c r="A4">
        <v>3</v>
      </c>
      <c r="B4" s="37">
        <v>45932</v>
      </c>
      <c r="C4" s="3">
        <f t="shared" ca="1" si="1"/>
        <v>286</v>
      </c>
      <c r="D4" s="3" t="s">
        <v>76</v>
      </c>
      <c r="E4" s="1">
        <v>7.87</v>
      </c>
      <c r="F4" s="69">
        <v>1.27064803</v>
      </c>
      <c r="G4" s="2">
        <f t="shared" si="0"/>
        <v>9.9999999960999997</v>
      </c>
    </row>
    <row r="5" spans="1:12" x14ac:dyDescent="0.3">
      <c r="A5">
        <v>4</v>
      </c>
      <c r="B5" s="37">
        <v>45951</v>
      </c>
      <c r="C5" s="3">
        <f t="shared" ref="C5:C9" ca="1" si="2">TODAY()-B5</f>
        <v>267</v>
      </c>
      <c r="D5" s="3" t="s">
        <v>90</v>
      </c>
      <c r="E5" s="1">
        <v>22.03</v>
      </c>
      <c r="F5" s="69">
        <v>0.52564683999999995</v>
      </c>
      <c r="G5" s="2">
        <f t="shared" ref="G5:G9" si="3">E5*F5</f>
        <v>11.579999885199999</v>
      </c>
    </row>
    <row r="6" spans="1:12" x14ac:dyDescent="0.3">
      <c r="A6">
        <v>5</v>
      </c>
      <c r="B6" s="37">
        <v>45960</v>
      </c>
      <c r="C6" s="3">
        <f t="shared" ca="1" si="2"/>
        <v>258</v>
      </c>
      <c r="D6" s="3" t="s">
        <v>100</v>
      </c>
      <c r="E6" s="1">
        <v>32.729999999999997</v>
      </c>
      <c r="F6" s="69">
        <v>0.32051059999999998</v>
      </c>
      <c r="G6" s="2">
        <f t="shared" si="3"/>
        <v>10.490311937999998</v>
      </c>
    </row>
    <row r="7" spans="1:12" x14ac:dyDescent="0.3">
      <c r="A7">
        <v>6</v>
      </c>
      <c r="B7" s="37">
        <v>45971</v>
      </c>
      <c r="C7" s="3">
        <f t="shared" ca="1" si="2"/>
        <v>247</v>
      </c>
      <c r="D7" s="3" t="s">
        <v>99</v>
      </c>
      <c r="E7" s="1">
        <v>31.33</v>
      </c>
      <c r="F7" s="69">
        <v>0.35110118000000001</v>
      </c>
      <c r="G7" s="2">
        <f t="shared" si="3"/>
        <v>10.999999969399999</v>
      </c>
    </row>
    <row r="8" spans="1:12" x14ac:dyDescent="0.3">
      <c r="A8">
        <v>7</v>
      </c>
      <c r="B8" s="37">
        <v>45971</v>
      </c>
      <c r="C8" s="3">
        <f t="shared" ca="1" si="2"/>
        <v>247</v>
      </c>
      <c r="D8" s="3" t="s">
        <v>103</v>
      </c>
      <c r="E8" s="1">
        <v>66.540000000000006</v>
      </c>
      <c r="F8" s="69">
        <v>0.16531409</v>
      </c>
      <c r="G8" s="2">
        <f t="shared" si="3"/>
        <v>10.9999995486</v>
      </c>
    </row>
    <row r="9" spans="1:12" x14ac:dyDescent="0.3">
      <c r="A9">
        <v>8</v>
      </c>
      <c r="B9" s="37">
        <v>45986</v>
      </c>
      <c r="C9" s="3">
        <f t="shared" ca="1" si="2"/>
        <v>232</v>
      </c>
      <c r="D9" s="3" t="s">
        <v>56</v>
      </c>
      <c r="E9" s="1">
        <v>480.23</v>
      </c>
      <c r="F9" s="69">
        <v>2.2905689999999999E-2</v>
      </c>
      <c r="G9" s="2">
        <f t="shared" si="3"/>
        <v>10.9999995087</v>
      </c>
    </row>
    <row r="10" spans="1:12" x14ac:dyDescent="0.3">
      <c r="A10">
        <v>9</v>
      </c>
      <c r="B10" s="37">
        <v>45992</v>
      </c>
      <c r="C10" s="3">
        <f t="shared" ref="C10:C23" ca="1" si="4">TODAY()-B10</f>
        <v>226</v>
      </c>
      <c r="D10" s="82" t="s">
        <v>121</v>
      </c>
      <c r="E10" s="1">
        <v>108.7</v>
      </c>
      <c r="F10" s="69">
        <v>0.11039557999999999</v>
      </c>
      <c r="G10" s="2">
        <f>E10*F10</f>
        <v>11.999999546</v>
      </c>
    </row>
    <row r="11" spans="1:12" x14ac:dyDescent="0.3">
      <c r="A11">
        <v>10</v>
      </c>
      <c r="B11" s="37">
        <v>46013</v>
      </c>
      <c r="C11" s="3">
        <f t="shared" ca="1" si="4"/>
        <v>205</v>
      </c>
      <c r="D11" s="3" t="s">
        <v>88</v>
      </c>
      <c r="E11" s="1">
        <v>8.02</v>
      </c>
      <c r="F11" s="69">
        <v>1.4962593500000001</v>
      </c>
      <c r="G11" s="2">
        <f>E11*F11</f>
        <v>11.999999987000001</v>
      </c>
    </row>
    <row r="12" spans="1:12" x14ac:dyDescent="0.3">
      <c r="A12">
        <v>11</v>
      </c>
      <c r="B12" s="37">
        <v>46044</v>
      </c>
      <c r="C12" s="3">
        <f t="shared" ca="1" si="4"/>
        <v>174</v>
      </c>
      <c r="D12" s="3" t="s">
        <v>63</v>
      </c>
      <c r="E12" s="1">
        <v>31.5</v>
      </c>
      <c r="F12" s="69">
        <v>0.39</v>
      </c>
      <c r="G12" s="2">
        <f>E12*F12</f>
        <v>12.285</v>
      </c>
    </row>
    <row r="13" spans="1:12" x14ac:dyDescent="0.3">
      <c r="A13">
        <v>12</v>
      </c>
      <c r="B13" s="37">
        <v>46050</v>
      </c>
      <c r="C13" s="3">
        <f t="shared" ca="1" si="4"/>
        <v>168</v>
      </c>
      <c r="D13" s="3" t="s">
        <v>75</v>
      </c>
      <c r="E13" s="1">
        <v>9.6999999999999993</v>
      </c>
      <c r="F13" s="69">
        <v>2.6</v>
      </c>
      <c r="G13" s="2">
        <f>E13*F13</f>
        <v>25.22</v>
      </c>
      <c r="I13" s="2"/>
      <c r="K13" s="2"/>
      <c r="L13" s="2"/>
    </row>
    <row r="14" spans="1:12" x14ac:dyDescent="0.3">
      <c r="A14">
        <v>13</v>
      </c>
      <c r="B14" s="37">
        <v>46051</v>
      </c>
      <c r="C14" s="3">
        <f t="shared" ca="1" si="4"/>
        <v>167</v>
      </c>
      <c r="D14" s="3" t="s">
        <v>89</v>
      </c>
      <c r="E14" s="1">
        <v>15.28</v>
      </c>
      <c r="F14" s="69">
        <v>1.65</v>
      </c>
      <c r="G14" s="2">
        <f>E14*F14</f>
        <v>25.211999999999996</v>
      </c>
      <c r="J14" s="2"/>
    </row>
    <row r="15" spans="1:12" x14ac:dyDescent="0.3">
      <c r="A15">
        <v>14</v>
      </c>
      <c r="B15" s="37">
        <v>46055</v>
      </c>
      <c r="C15" s="3">
        <f t="shared" ca="1" si="4"/>
        <v>163</v>
      </c>
      <c r="D15" s="3" t="s">
        <v>95</v>
      </c>
      <c r="E15" s="1">
        <v>10.79</v>
      </c>
      <c r="F15" s="69">
        <v>2.3169601399999999</v>
      </c>
      <c r="G15" s="2">
        <f t="shared" ref="G15" si="5">E15*F15</f>
        <v>24.999999910599996</v>
      </c>
      <c r="J15" s="2"/>
      <c r="K15" s="56"/>
    </row>
    <row r="16" spans="1:12" x14ac:dyDescent="0.3">
      <c r="A16">
        <v>15</v>
      </c>
      <c r="B16" s="37">
        <v>46056</v>
      </c>
      <c r="C16" s="3">
        <f t="shared" ca="1" si="4"/>
        <v>162</v>
      </c>
      <c r="D16" s="3" t="s">
        <v>60</v>
      </c>
      <c r="E16" s="1">
        <v>8.34</v>
      </c>
      <c r="F16" s="69">
        <v>2.9976019100000002</v>
      </c>
      <c r="G16" s="2">
        <f t="shared" ref="G16:G23" si="6">E16*F16</f>
        <v>24.999999929400001</v>
      </c>
      <c r="I16" s="2"/>
      <c r="K16" s="2"/>
    </row>
    <row r="17" spans="1:14" x14ac:dyDescent="0.3">
      <c r="A17">
        <v>16</v>
      </c>
      <c r="B17" s="37">
        <v>46056</v>
      </c>
      <c r="C17" s="3">
        <f t="shared" ca="1" si="4"/>
        <v>162</v>
      </c>
      <c r="D17" s="3" t="s">
        <v>91</v>
      </c>
      <c r="E17" s="1">
        <v>18.350000000000001</v>
      </c>
      <c r="F17" s="69">
        <v>1.36239782</v>
      </c>
      <c r="G17" s="2">
        <f t="shared" si="6"/>
        <v>24.999999997000003</v>
      </c>
    </row>
    <row r="18" spans="1:14" x14ac:dyDescent="0.3">
      <c r="A18">
        <v>17</v>
      </c>
      <c r="B18" s="37">
        <v>46058</v>
      </c>
      <c r="C18" s="3">
        <f t="shared" ca="1" si="4"/>
        <v>160</v>
      </c>
      <c r="D18" s="3" t="s">
        <v>136</v>
      </c>
      <c r="E18" s="1">
        <v>276</v>
      </c>
      <c r="F18" s="69">
        <v>0.09</v>
      </c>
      <c r="G18" s="2">
        <f t="shared" si="6"/>
        <v>24.84</v>
      </c>
    </row>
    <row r="19" spans="1:14" x14ac:dyDescent="0.3">
      <c r="A19">
        <v>18</v>
      </c>
      <c r="B19" s="37">
        <v>46059</v>
      </c>
      <c r="C19" s="3">
        <f t="shared" ca="1" si="4"/>
        <v>159</v>
      </c>
      <c r="D19" s="3" t="s">
        <v>137</v>
      </c>
      <c r="E19" s="1">
        <v>116</v>
      </c>
      <c r="F19" s="69">
        <v>0.22</v>
      </c>
      <c r="G19" s="2">
        <f t="shared" si="6"/>
        <v>25.52</v>
      </c>
    </row>
    <row r="20" spans="1:14" x14ac:dyDescent="0.3">
      <c r="A20">
        <v>19</v>
      </c>
      <c r="B20" s="37">
        <v>46063</v>
      </c>
      <c r="C20" s="3">
        <f t="shared" ca="1" si="4"/>
        <v>155</v>
      </c>
      <c r="D20" s="3" t="s">
        <v>140</v>
      </c>
      <c r="E20" s="1">
        <v>11.6</v>
      </c>
      <c r="F20" s="69">
        <v>2.6</v>
      </c>
      <c r="G20" s="2">
        <f t="shared" si="6"/>
        <v>30.16</v>
      </c>
      <c r="I20" s="2"/>
      <c r="K20" s="2"/>
      <c r="L20" s="2"/>
      <c r="N20" s="55"/>
    </row>
    <row r="21" spans="1:14" x14ac:dyDescent="0.3">
      <c r="A21">
        <v>20</v>
      </c>
      <c r="B21" s="37">
        <v>46064</v>
      </c>
      <c r="C21" s="3">
        <f t="shared" ca="1" si="4"/>
        <v>154</v>
      </c>
      <c r="D21" s="3" t="s">
        <v>69</v>
      </c>
      <c r="E21" s="1">
        <v>16</v>
      </c>
      <c r="F21" s="69">
        <v>1.9</v>
      </c>
      <c r="G21" s="2">
        <f t="shared" si="6"/>
        <v>30.4</v>
      </c>
    </row>
    <row r="22" spans="1:14" x14ac:dyDescent="0.3">
      <c r="A22">
        <v>21</v>
      </c>
      <c r="B22" s="37">
        <v>46066</v>
      </c>
      <c r="C22" s="3">
        <f t="shared" ca="1" si="4"/>
        <v>152</v>
      </c>
      <c r="D22" s="3" t="s">
        <v>144</v>
      </c>
      <c r="E22" s="1">
        <v>74.349999999999994</v>
      </c>
      <c r="F22" s="69">
        <v>0.41</v>
      </c>
      <c r="G22" s="2">
        <f t="shared" si="6"/>
        <v>30.483499999999996</v>
      </c>
    </row>
    <row r="23" spans="1:14" x14ac:dyDescent="0.3">
      <c r="A23">
        <v>22</v>
      </c>
      <c r="B23" s="37">
        <v>46076</v>
      </c>
      <c r="C23" s="3">
        <f t="shared" ca="1" si="4"/>
        <v>142</v>
      </c>
      <c r="D23" s="3" t="s">
        <v>141</v>
      </c>
      <c r="E23" s="1">
        <v>64.12</v>
      </c>
      <c r="F23" s="69">
        <v>0.47</v>
      </c>
      <c r="G23" s="2">
        <f t="shared" si="6"/>
        <v>30.136400000000002</v>
      </c>
      <c r="H23" s="2"/>
    </row>
    <row r="24" spans="1:14" x14ac:dyDescent="0.3">
      <c r="A24">
        <v>23</v>
      </c>
      <c r="B24" s="37">
        <v>46106</v>
      </c>
      <c r="C24" s="3">
        <f ca="1">TODAY()-B24</f>
        <v>112</v>
      </c>
      <c r="D24" s="3" t="s">
        <v>145</v>
      </c>
      <c r="E24" s="1">
        <v>53.78</v>
      </c>
      <c r="F24" s="69">
        <v>0.75</v>
      </c>
      <c r="G24" s="2">
        <f>E24*F24</f>
        <v>40.335000000000001</v>
      </c>
      <c r="I24" s="2"/>
      <c r="K24" s="2"/>
      <c r="L24" s="2"/>
    </row>
    <row r="25" spans="1:14" x14ac:dyDescent="0.3">
      <c r="A25">
        <v>24</v>
      </c>
      <c r="B25" s="37">
        <v>46122</v>
      </c>
      <c r="C25" s="3">
        <f ca="1">TODAY()-B25</f>
        <v>96</v>
      </c>
      <c r="D25" s="3" t="s">
        <v>146</v>
      </c>
      <c r="E25" s="1">
        <v>166.95</v>
      </c>
      <c r="F25" s="69">
        <v>0.19107516999999999</v>
      </c>
      <c r="G25" s="2">
        <f>E25*F25</f>
        <v>31.899999631499995</v>
      </c>
    </row>
    <row r="26" spans="1:14" x14ac:dyDescent="0.3">
      <c r="A26">
        <v>25</v>
      </c>
      <c r="B26" s="37">
        <v>46129</v>
      </c>
      <c r="C26" s="3">
        <f ca="1">TODAY()-B26</f>
        <v>89</v>
      </c>
      <c r="D26" s="3" t="s">
        <v>148</v>
      </c>
      <c r="E26" s="1">
        <v>39.75</v>
      </c>
      <c r="F26" s="69">
        <v>1</v>
      </c>
      <c r="G26" s="2">
        <f>E26*F26</f>
        <v>39.75</v>
      </c>
    </row>
    <row r="27" spans="1:14" x14ac:dyDescent="0.3">
      <c r="A27">
        <v>26</v>
      </c>
      <c r="B27" s="37">
        <v>46136</v>
      </c>
      <c r="C27" s="3">
        <f ca="1">TODAY()-B27</f>
        <v>82</v>
      </c>
      <c r="D27" s="3" t="s">
        <v>55</v>
      </c>
      <c r="E27" s="1">
        <v>58</v>
      </c>
      <c r="F27" s="69">
        <v>0.7</v>
      </c>
      <c r="G27" s="2">
        <f>E27*F27</f>
        <v>40.599999999999994</v>
      </c>
    </row>
    <row r="28" spans="1:14" x14ac:dyDescent="0.3">
      <c r="A28">
        <v>27</v>
      </c>
      <c r="B28" s="37">
        <v>46217</v>
      </c>
      <c r="C28" s="3">
        <f ca="1">TODAY()-B28</f>
        <v>1</v>
      </c>
      <c r="D28" s="3" t="s">
        <v>152</v>
      </c>
      <c r="E28" s="1">
        <v>51.74</v>
      </c>
      <c r="F28" s="69">
        <v>0.97</v>
      </c>
      <c r="G28" s="2">
        <f>E28*F28</f>
        <v>50.187800000000003</v>
      </c>
    </row>
    <row r="29" spans="1:14" x14ac:dyDescent="0.3">
      <c r="A29">
        <v>28</v>
      </c>
      <c r="I29" s="2"/>
      <c r="K29" s="2"/>
      <c r="L29" s="2"/>
    </row>
    <row r="30" spans="1:14" x14ac:dyDescent="0.3">
      <c r="A30">
        <v>29</v>
      </c>
    </row>
    <row r="31" spans="1:14" x14ac:dyDescent="0.3">
      <c r="A31">
        <v>30</v>
      </c>
    </row>
    <row r="32" spans="1:14" x14ac:dyDescent="0.3">
      <c r="A32">
        <v>31</v>
      </c>
    </row>
    <row r="33" spans="1:12" x14ac:dyDescent="0.3">
      <c r="A33">
        <v>32</v>
      </c>
    </row>
    <row r="34" spans="1:12" x14ac:dyDescent="0.3">
      <c r="A34">
        <v>33</v>
      </c>
    </row>
    <row r="35" spans="1:12" x14ac:dyDescent="0.3">
      <c r="A35">
        <v>34</v>
      </c>
    </row>
    <row r="36" spans="1:12" x14ac:dyDescent="0.3">
      <c r="A36">
        <v>35</v>
      </c>
      <c r="G36" s="2"/>
    </row>
    <row r="37" spans="1:12" x14ac:dyDescent="0.3">
      <c r="A37">
        <v>36</v>
      </c>
    </row>
    <row r="38" spans="1:12" ht="15" thickBot="1" x14ac:dyDescent="0.35"/>
    <row r="39" spans="1:12" x14ac:dyDescent="0.3">
      <c r="A39" s="118" t="s">
        <v>45</v>
      </c>
      <c r="B39" s="119"/>
      <c r="C39" s="120">
        <v>2026</v>
      </c>
      <c r="D39" s="121"/>
      <c r="E39" s="122"/>
      <c r="G39" s="106" t="s">
        <v>74</v>
      </c>
    </row>
    <row r="40" spans="1:12" ht="15" thickBot="1" x14ac:dyDescent="0.35">
      <c r="A40" s="97" t="s">
        <v>135</v>
      </c>
      <c r="B40" s="99">
        <v>2025</v>
      </c>
      <c r="C40" s="97" t="s">
        <v>36</v>
      </c>
      <c r="D40" s="72" t="s">
        <v>123</v>
      </c>
      <c r="E40" s="98" t="s">
        <v>68</v>
      </c>
      <c r="G40" s="107">
        <v>2026</v>
      </c>
      <c r="I40">
        <v>620</v>
      </c>
      <c r="J40" s="57">
        <f>I40/A41</f>
        <v>1.0034310869424483</v>
      </c>
      <c r="L40" s="2"/>
    </row>
    <row r="41" spans="1:12" ht="15" thickBot="1" x14ac:dyDescent="0.35">
      <c r="A41" s="96">
        <f>63.02+53.12+80.23+111.06+310.45</f>
        <v>617.88</v>
      </c>
      <c r="B41" s="100">
        <v>327.19</v>
      </c>
      <c r="C41" s="105">
        <f>U100+R100+O100+L100+I100+F100</f>
        <v>67.809356431899985</v>
      </c>
      <c r="D41" s="96">
        <f>-0.03+0.13+0.09+0.05+0.08+0.12+0.17</f>
        <v>0.61</v>
      </c>
      <c r="E41" s="96">
        <f>D41+C41</f>
        <v>68.419356431899985</v>
      </c>
      <c r="G41" s="45">
        <f>E41+B41+310.45</f>
        <v>706.05935643189991</v>
      </c>
      <c r="I41">
        <v>598.55999999999995</v>
      </c>
      <c r="J41" s="57">
        <f>I41/A41</f>
        <v>0.96873179258108366</v>
      </c>
    </row>
    <row r="43" spans="1:12" ht="15" thickBot="1" x14ac:dyDescent="0.35"/>
    <row r="44" spans="1:12" ht="29.4" customHeight="1" thickBot="1" x14ac:dyDescent="0.35">
      <c r="B44" s="101" t="s">
        <v>37</v>
      </c>
      <c r="C44" s="102" t="s">
        <v>38</v>
      </c>
      <c r="D44" s="103" t="s">
        <v>43</v>
      </c>
      <c r="E44" s="102" t="s">
        <v>30</v>
      </c>
      <c r="F44" s="102" t="s">
        <v>34</v>
      </c>
      <c r="G44" s="102" t="s">
        <v>35</v>
      </c>
      <c r="H44" s="102" t="s">
        <v>66</v>
      </c>
      <c r="I44" s="102" t="s">
        <v>65</v>
      </c>
      <c r="J44" s="102" t="s">
        <v>67</v>
      </c>
      <c r="K44" s="102" t="s">
        <v>36</v>
      </c>
      <c r="L44" s="104" t="s">
        <v>48</v>
      </c>
    </row>
    <row r="45" spans="1:12" x14ac:dyDescent="0.3">
      <c r="B45" s="37">
        <v>45993</v>
      </c>
      <c r="C45" s="37">
        <v>46027</v>
      </c>
      <c r="D45" s="3">
        <f>C45-B45</f>
        <v>34</v>
      </c>
      <c r="E45" s="3" t="s">
        <v>53</v>
      </c>
      <c r="F45" s="1">
        <v>150.25</v>
      </c>
      <c r="G45" s="1">
        <v>165</v>
      </c>
      <c r="H45" s="69">
        <v>7.9866880000000001E-2</v>
      </c>
      <c r="I45" s="2">
        <f t="shared" ref="I45:I51" si="7">H45*F45</f>
        <v>11.999998720000001</v>
      </c>
      <c r="J45" s="1">
        <f t="shared" ref="J45:J51" si="8">H45*G45</f>
        <v>13.1780352</v>
      </c>
      <c r="K45" s="2">
        <f>J45-I45</f>
        <v>1.1780364799999994</v>
      </c>
      <c r="L45" s="56">
        <f t="shared" ref="L45:L51" si="9">(J45/I45)-1</f>
        <v>9.8169717138103074E-2</v>
      </c>
    </row>
    <row r="46" spans="1:12" x14ac:dyDescent="0.3">
      <c r="B46" s="37">
        <v>45988</v>
      </c>
      <c r="C46" s="37">
        <v>46035</v>
      </c>
      <c r="D46" s="3">
        <f>C46-B46</f>
        <v>47</v>
      </c>
      <c r="E46" s="3" t="s">
        <v>120</v>
      </c>
      <c r="F46" s="1">
        <v>409.42</v>
      </c>
      <c r="G46" s="1">
        <v>442.62</v>
      </c>
      <c r="H46" s="69">
        <v>2.6867269999999999E-2</v>
      </c>
      <c r="I46" s="2">
        <f t="shared" si="7"/>
        <v>10.9999976834</v>
      </c>
      <c r="J46" s="1">
        <f t="shared" si="8"/>
        <v>11.891991047399999</v>
      </c>
      <c r="K46" s="2">
        <f t="shared" ref="K46:K51" si="10">J46-I46</f>
        <v>0.89199336399999929</v>
      </c>
      <c r="L46" s="56">
        <f t="shared" si="9"/>
        <v>8.1090322895803757E-2</v>
      </c>
    </row>
    <row r="47" spans="1:12" x14ac:dyDescent="0.3">
      <c r="B47" s="37">
        <v>46001</v>
      </c>
      <c r="C47" s="37">
        <v>46038</v>
      </c>
      <c r="D47" s="3">
        <f t="shared" ref="D47:D78" si="11">C47-B47</f>
        <v>37</v>
      </c>
      <c r="E47" s="3" t="s">
        <v>126</v>
      </c>
      <c r="F47" s="1">
        <v>56.84</v>
      </c>
      <c r="G47" s="1">
        <v>61.3</v>
      </c>
      <c r="H47" s="69">
        <v>0.21111893000000001</v>
      </c>
      <c r="I47" s="2">
        <f t="shared" si="7"/>
        <v>11.999999981200002</v>
      </c>
      <c r="J47" s="1">
        <f t="shared" si="8"/>
        <v>12.941590409</v>
      </c>
      <c r="K47" s="2">
        <f t="shared" si="10"/>
        <v>0.9415904277999978</v>
      </c>
      <c r="L47" s="56">
        <f t="shared" si="9"/>
        <v>7.8465869106262964E-2</v>
      </c>
    </row>
    <row r="48" spans="1:12" x14ac:dyDescent="0.3">
      <c r="B48" s="37">
        <v>46038</v>
      </c>
      <c r="C48" s="37">
        <v>46044</v>
      </c>
      <c r="D48" s="3">
        <f t="shared" si="11"/>
        <v>6</v>
      </c>
      <c r="E48" s="3" t="s">
        <v>94</v>
      </c>
      <c r="F48" s="1">
        <v>12.42</v>
      </c>
      <c r="G48" s="1">
        <v>12.63</v>
      </c>
      <c r="H48" s="69">
        <v>1</v>
      </c>
      <c r="I48" s="2">
        <f t="shared" si="7"/>
        <v>12.42</v>
      </c>
      <c r="J48" s="1">
        <f t="shared" si="8"/>
        <v>12.63</v>
      </c>
      <c r="K48" s="2">
        <f t="shared" si="10"/>
        <v>0.21000000000000085</v>
      </c>
      <c r="L48" s="56">
        <f t="shared" si="9"/>
        <v>1.6908212560386549E-2</v>
      </c>
    </row>
    <row r="49" spans="2:12" x14ac:dyDescent="0.3">
      <c r="B49" s="37">
        <v>46027</v>
      </c>
      <c r="C49" s="37">
        <v>46045</v>
      </c>
      <c r="D49" s="3">
        <f t="shared" si="11"/>
        <v>18</v>
      </c>
      <c r="E49" s="3" t="s">
        <v>59</v>
      </c>
      <c r="F49" s="1">
        <v>11.99</v>
      </c>
      <c r="G49" s="109">
        <v>13.3</v>
      </c>
      <c r="H49" s="69">
        <v>1.29608006</v>
      </c>
      <c r="I49" s="2">
        <f t="shared" si="7"/>
        <v>15.5399999194</v>
      </c>
      <c r="J49" s="1">
        <f t="shared" si="8"/>
        <v>17.237864798</v>
      </c>
      <c r="K49" s="2">
        <f t="shared" si="10"/>
        <v>1.6978648786000008</v>
      </c>
      <c r="L49" s="56">
        <f t="shared" si="9"/>
        <v>0.10925771476230195</v>
      </c>
    </row>
    <row r="50" spans="2:12" x14ac:dyDescent="0.3">
      <c r="B50" s="37">
        <v>45954</v>
      </c>
      <c r="C50" s="37">
        <v>46051</v>
      </c>
      <c r="D50" s="3">
        <f t="shared" si="11"/>
        <v>97</v>
      </c>
      <c r="E50" s="3" t="s">
        <v>91</v>
      </c>
      <c r="F50" s="35">
        <v>17.86</v>
      </c>
      <c r="G50" s="1">
        <v>19.899999999999999</v>
      </c>
      <c r="H50" s="69">
        <v>0.58790593000000002</v>
      </c>
      <c r="I50" s="2">
        <f t="shared" si="7"/>
        <v>10.4999999098</v>
      </c>
      <c r="J50" s="1">
        <f t="shared" si="8"/>
        <v>11.699328007</v>
      </c>
      <c r="K50" s="2">
        <f t="shared" si="10"/>
        <v>1.1993280972000004</v>
      </c>
      <c r="L50" s="56">
        <f t="shared" si="9"/>
        <v>0.1142217245240762</v>
      </c>
    </row>
    <row r="51" spans="2:12" x14ac:dyDescent="0.3">
      <c r="B51" s="37">
        <v>45987</v>
      </c>
      <c r="C51" s="37">
        <v>46055</v>
      </c>
      <c r="D51" s="3">
        <f t="shared" si="11"/>
        <v>68</v>
      </c>
      <c r="E51" s="3" t="s">
        <v>115</v>
      </c>
      <c r="F51" s="1">
        <v>40.92</v>
      </c>
      <c r="G51" s="1">
        <v>45.02</v>
      </c>
      <c r="H51" s="69">
        <v>0.26881719999999998</v>
      </c>
      <c r="I51" s="2">
        <f t="shared" si="7"/>
        <v>10.999999824</v>
      </c>
      <c r="J51" s="1">
        <f t="shared" si="8"/>
        <v>12.102150344</v>
      </c>
      <c r="K51" s="2">
        <f t="shared" si="10"/>
        <v>1.1021505200000004</v>
      </c>
      <c r="L51" s="56">
        <f t="shared" si="9"/>
        <v>0.10019550342131001</v>
      </c>
    </row>
    <row r="52" spans="2:12" x14ac:dyDescent="0.3">
      <c r="B52" s="37">
        <v>45987</v>
      </c>
      <c r="C52" s="37">
        <v>46055</v>
      </c>
      <c r="D52" s="3">
        <f t="shared" si="11"/>
        <v>68</v>
      </c>
      <c r="E52" s="3" t="s">
        <v>41</v>
      </c>
      <c r="F52" s="1">
        <v>13.93</v>
      </c>
      <c r="G52" s="1">
        <v>15.83</v>
      </c>
      <c r="H52" s="69">
        <v>0.78966259000000005</v>
      </c>
      <c r="I52" s="2">
        <f t="shared" ref="I52:I60" si="12">H52*F52</f>
        <v>10.999999878700001</v>
      </c>
      <c r="J52" s="1">
        <f t="shared" ref="J52:J60" si="13">H52*G52</f>
        <v>12.500358799700001</v>
      </c>
      <c r="K52" s="2">
        <f t="shared" ref="K52:K60" si="14">J52-I52</f>
        <v>1.5003589210000001</v>
      </c>
      <c r="L52" s="56">
        <f t="shared" ref="L52:L60" si="15">(J52/I52)-1</f>
        <v>0.13639626704953334</v>
      </c>
    </row>
    <row r="53" spans="2:12" x14ac:dyDescent="0.3">
      <c r="B53" s="37">
        <v>45993</v>
      </c>
      <c r="C53" s="37">
        <v>46056</v>
      </c>
      <c r="D53" s="3">
        <f t="shared" si="11"/>
        <v>63</v>
      </c>
      <c r="E53" s="3" t="s">
        <v>54</v>
      </c>
      <c r="F53" s="1">
        <v>148.96</v>
      </c>
      <c r="G53" s="1">
        <v>158.02000000000001</v>
      </c>
      <c r="H53" s="69">
        <v>7.3845320000000006E-2</v>
      </c>
      <c r="I53" s="2">
        <f t="shared" si="12"/>
        <v>10.999998867200002</v>
      </c>
      <c r="J53" s="1">
        <f t="shared" si="13"/>
        <v>11.669037466400003</v>
      </c>
      <c r="K53" s="2">
        <f t="shared" si="14"/>
        <v>0.66903859920000031</v>
      </c>
      <c r="L53" s="56">
        <f t="shared" si="15"/>
        <v>6.0821697099892713E-2</v>
      </c>
    </row>
    <row r="54" spans="2:12" x14ac:dyDescent="0.3">
      <c r="B54" s="37">
        <v>46055</v>
      </c>
      <c r="C54" s="37">
        <v>46057</v>
      </c>
      <c r="D54" s="3">
        <f t="shared" si="11"/>
        <v>2</v>
      </c>
      <c r="E54" s="3" t="s">
        <v>80</v>
      </c>
      <c r="F54" s="1">
        <v>18.420000000000002</v>
      </c>
      <c r="G54" s="1">
        <v>20.45</v>
      </c>
      <c r="H54" s="69">
        <v>1.4</v>
      </c>
      <c r="I54" s="2">
        <f t="shared" si="12"/>
        <v>25.788</v>
      </c>
      <c r="J54" s="1">
        <f t="shared" si="13"/>
        <v>28.629999999999995</v>
      </c>
      <c r="K54" s="2">
        <f t="shared" si="14"/>
        <v>2.8419999999999952</v>
      </c>
      <c r="L54" s="56">
        <f t="shared" si="15"/>
        <v>0.11020629750271427</v>
      </c>
    </row>
    <row r="55" spans="2:12" x14ac:dyDescent="0.3">
      <c r="B55" s="37">
        <v>45998</v>
      </c>
      <c r="C55" s="37">
        <v>46058</v>
      </c>
      <c r="D55" s="3">
        <f t="shared" si="11"/>
        <v>60</v>
      </c>
      <c r="E55" s="3" t="s">
        <v>82</v>
      </c>
      <c r="F55" s="1">
        <v>17.91</v>
      </c>
      <c r="G55" s="1">
        <v>19.7</v>
      </c>
      <c r="H55" s="69">
        <v>0.67001675000000005</v>
      </c>
      <c r="I55" s="2">
        <f t="shared" si="12"/>
        <v>11.999999992500001</v>
      </c>
      <c r="J55" s="1">
        <f t="shared" si="13"/>
        <v>13.199329975000001</v>
      </c>
      <c r="K55" s="2">
        <f t="shared" si="14"/>
        <v>1.1993299825000001</v>
      </c>
      <c r="L55" s="56">
        <f t="shared" si="15"/>
        <v>9.9944165270798413E-2</v>
      </c>
    </row>
    <row r="56" spans="2:12" x14ac:dyDescent="0.3">
      <c r="B56" s="37">
        <v>46052</v>
      </c>
      <c r="C56" s="37">
        <v>46059</v>
      </c>
      <c r="D56" s="3">
        <f t="shared" si="11"/>
        <v>7</v>
      </c>
      <c r="E56" s="3" t="s">
        <v>97</v>
      </c>
      <c r="F56" s="1">
        <v>13.62</v>
      </c>
      <c r="G56" s="1">
        <v>15.08</v>
      </c>
      <c r="H56" s="69">
        <v>1.9</v>
      </c>
      <c r="I56" s="2">
        <f t="shared" si="12"/>
        <v>25.877999999999997</v>
      </c>
      <c r="J56" s="1">
        <f t="shared" si="13"/>
        <v>28.651999999999997</v>
      </c>
      <c r="K56" s="2">
        <f t="shared" si="14"/>
        <v>2.7740000000000009</v>
      </c>
      <c r="L56" s="56">
        <f t="shared" si="15"/>
        <v>0.10719530102790009</v>
      </c>
    </row>
    <row r="57" spans="2:12" x14ac:dyDescent="0.3">
      <c r="B57" s="37">
        <v>45952</v>
      </c>
      <c r="C57" s="37">
        <v>46062</v>
      </c>
      <c r="D57" s="3">
        <f t="shared" si="11"/>
        <v>110</v>
      </c>
      <c r="E57" s="3" t="s">
        <v>86</v>
      </c>
      <c r="F57" s="1">
        <v>29.89</v>
      </c>
      <c r="G57" s="1">
        <v>33</v>
      </c>
      <c r="H57" s="69">
        <v>0.33456005</v>
      </c>
      <c r="I57" s="2">
        <f t="shared" si="12"/>
        <v>9.9999998945000002</v>
      </c>
      <c r="J57" s="1">
        <f t="shared" si="13"/>
        <v>11.04048165</v>
      </c>
      <c r="K57" s="2">
        <f t="shared" si="14"/>
        <v>1.0404817555000001</v>
      </c>
      <c r="L57" s="56">
        <f t="shared" si="15"/>
        <v>0.10404817664770838</v>
      </c>
    </row>
    <row r="58" spans="2:12" x14ac:dyDescent="0.3">
      <c r="B58" s="37">
        <v>45995</v>
      </c>
      <c r="C58" s="37">
        <v>46064</v>
      </c>
      <c r="D58" s="3">
        <f t="shared" si="11"/>
        <v>69</v>
      </c>
      <c r="E58" s="3" t="s">
        <v>58</v>
      </c>
      <c r="F58" s="1">
        <v>25.55</v>
      </c>
      <c r="G58" s="1">
        <v>28.36</v>
      </c>
      <c r="H58" s="69">
        <v>0.46966731</v>
      </c>
      <c r="I58" s="2">
        <f t="shared" si="12"/>
        <v>11.999999770500001</v>
      </c>
      <c r="J58" s="1">
        <f t="shared" si="13"/>
        <v>13.3197649116</v>
      </c>
      <c r="K58" s="2">
        <f t="shared" si="14"/>
        <v>1.3197651410999995</v>
      </c>
      <c r="L58" s="56">
        <f t="shared" si="15"/>
        <v>0.10998043052837558</v>
      </c>
    </row>
    <row r="59" spans="2:12" x14ac:dyDescent="0.3">
      <c r="B59" s="37">
        <v>46057</v>
      </c>
      <c r="C59" s="37">
        <v>46064</v>
      </c>
      <c r="D59" s="3">
        <f t="shared" si="11"/>
        <v>7</v>
      </c>
      <c r="E59" s="3" t="s">
        <v>78</v>
      </c>
      <c r="F59" s="1">
        <v>7.48</v>
      </c>
      <c r="G59" s="1">
        <v>8.51</v>
      </c>
      <c r="H59" s="69">
        <v>3.4</v>
      </c>
      <c r="I59" s="2">
        <f t="shared" si="12"/>
        <v>25.432000000000002</v>
      </c>
      <c r="J59" s="1">
        <f t="shared" si="13"/>
        <v>28.933999999999997</v>
      </c>
      <c r="K59" s="2">
        <f t="shared" si="14"/>
        <v>3.5019999999999953</v>
      </c>
      <c r="L59" s="56">
        <f t="shared" si="15"/>
        <v>0.13770053475935806</v>
      </c>
    </row>
    <row r="60" spans="2:12" x14ac:dyDescent="0.3">
      <c r="B60" s="37">
        <v>45903</v>
      </c>
      <c r="C60" s="37">
        <v>46065</v>
      </c>
      <c r="D60" s="3">
        <f t="shared" si="11"/>
        <v>162</v>
      </c>
      <c r="E60" s="3" t="s">
        <v>49</v>
      </c>
      <c r="F60" s="1">
        <v>90.57</v>
      </c>
      <c r="G60" s="1">
        <v>99.83</v>
      </c>
      <c r="H60" s="69">
        <v>9.2745939999999999E-2</v>
      </c>
      <c r="I60" s="2">
        <f t="shared" si="12"/>
        <v>8.3999997857999986</v>
      </c>
      <c r="J60" s="1">
        <f t="shared" si="13"/>
        <v>9.2588271901999999</v>
      </c>
      <c r="K60" s="2">
        <f t="shared" si="14"/>
        <v>0.85882740440000127</v>
      </c>
      <c r="L60" s="56">
        <f t="shared" si="15"/>
        <v>0.10224136027382147</v>
      </c>
    </row>
    <row r="61" spans="2:12" x14ac:dyDescent="0.3">
      <c r="B61" s="37">
        <v>46045</v>
      </c>
      <c r="C61" s="37">
        <v>46072</v>
      </c>
      <c r="D61" s="3">
        <f t="shared" si="11"/>
        <v>27</v>
      </c>
      <c r="E61" s="3" t="s">
        <v>134</v>
      </c>
      <c r="F61" s="1">
        <v>44.27</v>
      </c>
      <c r="G61" s="1">
        <v>49.36</v>
      </c>
      <c r="H61" s="69">
        <v>0.29499999999999998</v>
      </c>
      <c r="I61" s="2">
        <f t="shared" ref="I61:I62" si="16">H61*F61</f>
        <v>13.05965</v>
      </c>
      <c r="J61" s="1">
        <f t="shared" ref="J61:J62" si="17">H61*G61</f>
        <v>14.561199999999999</v>
      </c>
      <c r="K61" s="2">
        <f t="shared" ref="K61" si="18">J61-I61</f>
        <v>1.5015499999999999</v>
      </c>
      <c r="L61" s="56">
        <f t="shared" ref="L61" si="19">(J61/I61)-1</f>
        <v>0.11497628190648301</v>
      </c>
    </row>
    <row r="62" spans="2:12" x14ac:dyDescent="0.3">
      <c r="B62" s="37">
        <v>45937</v>
      </c>
      <c r="C62" s="37">
        <v>46073</v>
      </c>
      <c r="D62" s="3">
        <f t="shared" si="11"/>
        <v>136</v>
      </c>
      <c r="E62" s="3" t="s">
        <v>93</v>
      </c>
      <c r="F62" s="1">
        <v>11.43</v>
      </c>
      <c r="G62" s="1">
        <v>12.62</v>
      </c>
      <c r="H62" s="69">
        <v>0.87489063</v>
      </c>
      <c r="I62" s="2">
        <f t="shared" si="16"/>
        <v>9.9999999008999989</v>
      </c>
      <c r="J62" s="1">
        <f t="shared" si="17"/>
        <v>11.0411197506</v>
      </c>
      <c r="K62" s="2">
        <f t="shared" ref="K62" si="20">J62-I62</f>
        <v>1.0411198497000012</v>
      </c>
      <c r="L62" s="56">
        <f t="shared" ref="L62" si="21">(J62/I62)-1</f>
        <v>0.10411198600174987</v>
      </c>
    </row>
    <row r="63" spans="2:12" x14ac:dyDescent="0.3">
      <c r="B63" s="37">
        <v>45987</v>
      </c>
      <c r="C63" s="37">
        <v>46076</v>
      </c>
      <c r="D63" s="3">
        <f t="shared" si="11"/>
        <v>89</v>
      </c>
      <c r="E63" s="3" t="s">
        <v>113</v>
      </c>
      <c r="F63" s="1">
        <v>4.37</v>
      </c>
      <c r="G63" s="1">
        <v>4.9000000000000004</v>
      </c>
      <c r="H63" s="69">
        <v>2.4118993099999999</v>
      </c>
      <c r="I63" s="2">
        <f t="shared" ref="I63" si="22">H63*F63</f>
        <v>10.5399999847</v>
      </c>
      <c r="J63" s="1">
        <f t="shared" ref="J63" si="23">H63*G63</f>
        <v>11.818306619000001</v>
      </c>
      <c r="K63" s="2">
        <f t="shared" ref="K63" si="24">J63-I63</f>
        <v>1.2783066343000016</v>
      </c>
      <c r="L63" s="56">
        <f t="shared" ref="L63" si="25">(J63/I63)-1</f>
        <v>0.12128146453089261</v>
      </c>
    </row>
    <row r="64" spans="2:12" x14ac:dyDescent="0.3">
      <c r="B64" s="37">
        <v>46062</v>
      </c>
      <c r="C64" s="37">
        <v>46079</v>
      </c>
      <c r="D64" s="3">
        <f t="shared" si="11"/>
        <v>17</v>
      </c>
      <c r="E64" s="3" t="s">
        <v>139</v>
      </c>
      <c r="F64" s="1">
        <v>81.3</v>
      </c>
      <c r="G64" s="1">
        <v>93</v>
      </c>
      <c r="H64" s="69">
        <v>0.37</v>
      </c>
      <c r="I64" s="2">
        <f t="shared" ref="I64:I65" si="26">H64*F64</f>
        <v>30.081</v>
      </c>
      <c r="J64" s="1">
        <f t="shared" ref="J64:J65" si="27">H64*G64</f>
        <v>34.409999999999997</v>
      </c>
      <c r="K64" s="2">
        <f t="shared" ref="K64" si="28">J64-I64</f>
        <v>4.3289999999999971</v>
      </c>
      <c r="L64" s="56">
        <f t="shared" ref="L64" si="29">(J64/I64)-1</f>
        <v>0.14391143911439097</v>
      </c>
    </row>
    <row r="65" spans="2:12" x14ac:dyDescent="0.3">
      <c r="B65" s="37">
        <v>46035</v>
      </c>
      <c r="C65" s="37">
        <v>46084</v>
      </c>
      <c r="D65" s="3">
        <f t="shared" si="11"/>
        <v>49</v>
      </c>
      <c r="E65" s="3" t="s">
        <v>133</v>
      </c>
      <c r="F65" s="1">
        <v>109.5</v>
      </c>
      <c r="G65" s="1">
        <v>121.58</v>
      </c>
      <c r="H65" s="69">
        <v>0.10958904</v>
      </c>
      <c r="I65" s="2">
        <f t="shared" si="26"/>
        <v>11.999999880000001</v>
      </c>
      <c r="J65" s="1">
        <f t="shared" si="27"/>
        <v>13.3238354832</v>
      </c>
      <c r="K65" s="2">
        <f t="shared" ref="K65" si="30">J65-I65</f>
        <v>1.3238356031999992</v>
      </c>
      <c r="L65" s="56">
        <f t="shared" ref="L65" si="31">(J65/I65)-1</f>
        <v>0.11031963470319628</v>
      </c>
    </row>
    <row r="66" spans="2:12" x14ac:dyDescent="0.3">
      <c r="B66" s="37">
        <v>46008</v>
      </c>
      <c r="C66" s="37">
        <v>46098</v>
      </c>
      <c r="D66" s="3">
        <f t="shared" si="11"/>
        <v>90</v>
      </c>
      <c r="E66" s="3" t="s">
        <v>143</v>
      </c>
      <c r="F66" s="1">
        <v>12.02</v>
      </c>
      <c r="G66" s="1">
        <v>13.29</v>
      </c>
      <c r="H66" s="69">
        <v>0.99833609999999995</v>
      </c>
      <c r="I66" s="2">
        <f t="shared" ref="I66" si="32">H66*F66</f>
        <v>11.999999921999999</v>
      </c>
      <c r="J66" s="1">
        <f t="shared" ref="J66" si="33">H66*G66</f>
        <v>13.267886768999999</v>
      </c>
      <c r="K66" s="2">
        <f t="shared" ref="K66" si="34">J66-I66</f>
        <v>1.2678868469999998</v>
      </c>
      <c r="L66" s="56">
        <f t="shared" ref="L66" si="35">(J66/I66)-1</f>
        <v>0.10565723793677195</v>
      </c>
    </row>
    <row r="67" spans="2:12" x14ac:dyDescent="0.3">
      <c r="B67" s="37">
        <v>46058</v>
      </c>
      <c r="C67" s="37">
        <v>46105</v>
      </c>
      <c r="D67" s="3">
        <f t="shared" si="11"/>
        <v>47</v>
      </c>
      <c r="E67" s="3" t="s">
        <v>52</v>
      </c>
      <c r="F67" s="1">
        <v>19.100000000000001</v>
      </c>
      <c r="G67" s="1">
        <v>21.38</v>
      </c>
      <c r="H67" s="69">
        <v>1.3</v>
      </c>
      <c r="I67" s="2">
        <f t="shared" ref="I67" si="36">H67*F67</f>
        <v>24.830000000000002</v>
      </c>
      <c r="J67" s="1">
        <f t="shared" ref="J67" si="37">H67*G67</f>
        <v>27.794</v>
      </c>
      <c r="K67" s="2">
        <f t="shared" ref="K67" si="38">J67-I67</f>
        <v>2.9639999999999986</v>
      </c>
      <c r="L67" s="56">
        <f t="shared" ref="L67" si="39">(J67/I67)-1</f>
        <v>0.11937172774869098</v>
      </c>
    </row>
    <row r="68" spans="2:12" x14ac:dyDescent="0.3">
      <c r="B68" s="37">
        <v>45937</v>
      </c>
      <c r="C68" s="37">
        <v>46107</v>
      </c>
      <c r="D68" s="3">
        <f t="shared" si="11"/>
        <v>170</v>
      </c>
      <c r="E68" s="3" t="s">
        <v>84</v>
      </c>
      <c r="F68" s="1">
        <v>7.25</v>
      </c>
      <c r="G68" s="1">
        <v>8.0500000000000007</v>
      </c>
      <c r="H68" s="69">
        <v>1.37931034</v>
      </c>
      <c r="I68" s="2">
        <f t="shared" ref="I68" si="40">H68*F68</f>
        <v>9.9999999650000007</v>
      </c>
      <c r="J68" s="1">
        <f t="shared" ref="J68" si="41">H68*G68</f>
        <v>11.103448237</v>
      </c>
      <c r="K68" s="2">
        <f t="shared" ref="K68" si="42">J68-I68</f>
        <v>1.1034482719999996</v>
      </c>
      <c r="L68" s="56">
        <f t="shared" ref="L68" si="43">(J68/I68)-1</f>
        <v>0.1103448275862069</v>
      </c>
    </row>
    <row r="69" spans="2:12" x14ac:dyDescent="0.3">
      <c r="B69" s="37">
        <v>45988</v>
      </c>
      <c r="C69" s="37">
        <v>46113</v>
      </c>
      <c r="D69" s="3">
        <f t="shared" si="11"/>
        <v>125</v>
      </c>
      <c r="E69" s="3" t="s">
        <v>96</v>
      </c>
      <c r="F69" s="1">
        <v>25.7</v>
      </c>
      <c r="G69" s="1">
        <v>28.52</v>
      </c>
      <c r="H69" s="69">
        <v>0.42801556000000002</v>
      </c>
      <c r="I69" s="2">
        <f t="shared" ref="I69" si="44">H69*F69</f>
        <v>10.999999892</v>
      </c>
      <c r="J69" s="1">
        <f t="shared" ref="J69" si="45">H69*G69</f>
        <v>12.2070037712</v>
      </c>
      <c r="K69" s="2">
        <f t="shared" ref="K69" si="46">J69-I69</f>
        <v>1.2070038792000002</v>
      </c>
      <c r="L69" s="56">
        <f t="shared" ref="L69" si="47">(J69/I69)-1</f>
        <v>0.10972762645914402</v>
      </c>
    </row>
    <row r="70" spans="2:12" x14ac:dyDescent="0.3">
      <c r="B70" s="37">
        <v>46113</v>
      </c>
      <c r="C70" s="37">
        <v>46122</v>
      </c>
      <c r="D70" s="3">
        <f t="shared" si="11"/>
        <v>9</v>
      </c>
      <c r="E70" s="3" t="s">
        <v>62</v>
      </c>
      <c r="F70" s="1">
        <v>25.79</v>
      </c>
      <c r="G70" s="1">
        <v>28.77</v>
      </c>
      <c r="H70" s="69">
        <v>1</v>
      </c>
      <c r="I70" s="2">
        <f t="shared" ref="I70" si="48">H70*F70</f>
        <v>25.79</v>
      </c>
      <c r="J70" s="1">
        <f t="shared" ref="J70" si="49">H70*G70</f>
        <v>28.77</v>
      </c>
      <c r="K70" s="2">
        <f t="shared" ref="K70" si="50">J70-I70</f>
        <v>2.9800000000000004</v>
      </c>
      <c r="L70" s="56">
        <f t="shared" ref="L70" si="51">(J70/I70)-1</f>
        <v>0.11554866227219862</v>
      </c>
    </row>
    <row r="71" spans="2:12" x14ac:dyDescent="0.3">
      <c r="B71" s="37">
        <v>45996</v>
      </c>
      <c r="C71" s="37">
        <v>46125</v>
      </c>
      <c r="D71" s="3">
        <f t="shared" si="11"/>
        <v>129</v>
      </c>
      <c r="E71" s="3" t="s">
        <v>125</v>
      </c>
      <c r="F71" s="1">
        <v>21.67</v>
      </c>
      <c r="G71" s="1">
        <v>24.33</v>
      </c>
      <c r="H71" s="69">
        <v>0.55376095000000003</v>
      </c>
      <c r="I71" s="2">
        <f t="shared" ref="I71:I72" si="52">H71*F71</f>
        <v>11.999999786500002</v>
      </c>
      <c r="J71" s="1">
        <f t="shared" ref="J71:J72" si="53">H71*G71</f>
        <v>13.473003913499999</v>
      </c>
      <c r="K71" s="2">
        <f t="shared" ref="K71" si="54">J71-I71</f>
        <v>1.4730041269999976</v>
      </c>
      <c r="L71" s="56">
        <f t="shared" ref="L71" si="55">(J71/I71)-1</f>
        <v>0.12275034610059965</v>
      </c>
    </row>
    <row r="72" spans="2:12" x14ac:dyDescent="0.3">
      <c r="B72" s="37">
        <v>46052</v>
      </c>
      <c r="C72" s="37">
        <v>46129</v>
      </c>
      <c r="D72" s="3">
        <f t="shared" si="11"/>
        <v>77</v>
      </c>
      <c r="E72" s="3" t="s">
        <v>57</v>
      </c>
      <c r="F72" s="1">
        <v>288.86</v>
      </c>
      <c r="G72" s="1">
        <v>319.85000000000002</v>
      </c>
      <c r="H72" s="69">
        <v>8.6999999999999994E-2</v>
      </c>
      <c r="I72" s="2">
        <f t="shared" si="52"/>
        <v>25.13082</v>
      </c>
      <c r="J72" s="1">
        <f t="shared" si="53"/>
        <v>27.82695</v>
      </c>
      <c r="K72" s="2">
        <f t="shared" ref="K72" si="56">J72-I72</f>
        <v>2.6961300000000001</v>
      </c>
      <c r="L72" s="56">
        <f t="shared" ref="L72" si="57">(J72/I72)-1</f>
        <v>0.10728380530360737</v>
      </c>
    </row>
    <row r="73" spans="2:12" x14ac:dyDescent="0.3">
      <c r="B73" s="37">
        <v>46052</v>
      </c>
      <c r="C73" s="37">
        <v>46129</v>
      </c>
      <c r="D73" s="3">
        <f t="shared" si="11"/>
        <v>77</v>
      </c>
      <c r="E73" s="3" t="s">
        <v>94</v>
      </c>
      <c r="F73" s="1">
        <v>11.58</v>
      </c>
      <c r="G73" s="1">
        <v>12.76</v>
      </c>
      <c r="H73" s="69">
        <v>2.16</v>
      </c>
      <c r="I73" s="2">
        <f t="shared" ref="I73" si="58">H73*F73</f>
        <v>25.012800000000002</v>
      </c>
      <c r="J73" s="1">
        <f t="shared" ref="J73" si="59">H73*G73</f>
        <v>27.561600000000002</v>
      </c>
      <c r="K73" s="2">
        <f t="shared" ref="K73" si="60">J73-I73</f>
        <v>2.5488</v>
      </c>
      <c r="L73" s="56">
        <f t="shared" ref="L73" si="61">(J73/I73)-1</f>
        <v>0.10189982728842839</v>
      </c>
    </row>
    <row r="74" spans="2:12" x14ac:dyDescent="0.3">
      <c r="B74" s="37">
        <v>46056</v>
      </c>
      <c r="C74" s="37">
        <v>46129</v>
      </c>
      <c r="D74" s="3">
        <f t="shared" si="11"/>
        <v>73</v>
      </c>
      <c r="E74" s="3" t="s">
        <v>59</v>
      </c>
      <c r="F74" s="1">
        <v>11.3</v>
      </c>
      <c r="G74" s="1">
        <v>12.03</v>
      </c>
      <c r="H74" s="69">
        <v>2.2123893799999998</v>
      </c>
      <c r="I74" s="2">
        <f t="shared" ref="I74" si="62">H74*F74</f>
        <v>24.999999994</v>
      </c>
      <c r="J74" s="1">
        <f t="shared" ref="J74:J75" si="63">H74*G74</f>
        <v>26.615044241399996</v>
      </c>
      <c r="K74" s="2">
        <f t="shared" ref="K74" si="64">J74-I74</f>
        <v>1.6150442473999966</v>
      </c>
      <c r="L74" s="56">
        <f t="shared" ref="L74" si="65">(J74/I74)-1</f>
        <v>6.4601769911504237E-2</v>
      </c>
    </row>
    <row r="75" spans="2:12" x14ac:dyDescent="0.3">
      <c r="B75" s="37">
        <v>46084</v>
      </c>
      <c r="C75" s="37">
        <v>46129</v>
      </c>
      <c r="D75" s="3">
        <f t="shared" si="11"/>
        <v>45</v>
      </c>
      <c r="E75" s="3" t="s">
        <v>59</v>
      </c>
      <c r="F75" s="1">
        <v>10.1</v>
      </c>
      <c r="G75" s="1">
        <v>12.03</v>
      </c>
      <c r="H75" s="69">
        <v>2</v>
      </c>
      <c r="I75" s="2">
        <f>F75*H75</f>
        <v>20.2</v>
      </c>
      <c r="J75" s="1">
        <f t="shared" si="63"/>
        <v>24.06</v>
      </c>
      <c r="K75" s="2">
        <f t="shared" ref="K75" si="66">J75-I75</f>
        <v>3.8599999999999994</v>
      </c>
      <c r="L75" s="56">
        <f t="shared" ref="L75" si="67">(J75/I75)-1</f>
        <v>0.19108910891089104</v>
      </c>
    </row>
    <row r="76" spans="2:12" x14ac:dyDescent="0.3">
      <c r="B76" s="37">
        <v>46134</v>
      </c>
      <c r="C76" s="37">
        <v>46136</v>
      </c>
      <c r="D76" s="3">
        <f t="shared" si="11"/>
        <v>2</v>
      </c>
      <c r="E76" s="3" t="s">
        <v>149</v>
      </c>
      <c r="F76" s="1">
        <v>60.24</v>
      </c>
      <c r="G76" s="1">
        <v>67.010000000000005</v>
      </c>
      <c r="H76" s="69">
        <v>0.6</v>
      </c>
      <c r="I76" s="2">
        <f>F76*H76</f>
        <v>36.143999999999998</v>
      </c>
      <c r="J76" s="1">
        <f t="shared" ref="J76" si="68">H76*G76</f>
        <v>40.206000000000003</v>
      </c>
      <c r="K76" s="2">
        <f t="shared" ref="K76" si="69">J76-I76</f>
        <v>4.0620000000000047</v>
      </c>
      <c r="L76" s="56">
        <f t="shared" ref="L76" si="70">(J76/I76)-1</f>
        <v>0.11238379814077049</v>
      </c>
    </row>
    <row r="77" spans="2:12" x14ac:dyDescent="0.3">
      <c r="B77" s="37">
        <v>46129</v>
      </c>
      <c r="C77" s="37">
        <v>46184</v>
      </c>
      <c r="D77" s="3">
        <f t="shared" si="11"/>
        <v>55</v>
      </c>
      <c r="E77" s="3" t="s">
        <v>147</v>
      </c>
      <c r="F77" s="1">
        <v>47.6</v>
      </c>
      <c r="G77" s="1">
        <v>58.93</v>
      </c>
      <c r="H77" s="69">
        <v>0.85</v>
      </c>
      <c r="I77" s="2">
        <f>F77*H77</f>
        <v>40.46</v>
      </c>
      <c r="J77" s="1">
        <f t="shared" ref="J77" si="71">H77*G77</f>
        <v>50.090499999999999</v>
      </c>
      <c r="K77" s="2">
        <f t="shared" ref="K77" si="72">J77-I77</f>
        <v>9.6304999999999978</v>
      </c>
      <c r="L77" s="56">
        <f t="shared" ref="L77" si="73">(J77/I77)-1</f>
        <v>0.23802521008403366</v>
      </c>
    </row>
    <row r="78" spans="2:12" x14ac:dyDescent="0.3">
      <c r="B78" s="37">
        <v>46080</v>
      </c>
      <c r="C78" s="37">
        <v>46217</v>
      </c>
      <c r="D78" s="3">
        <f t="shared" si="11"/>
        <v>137</v>
      </c>
      <c r="E78" s="3" t="s">
        <v>142</v>
      </c>
      <c r="F78" s="1">
        <v>36.49</v>
      </c>
      <c r="G78" s="1">
        <v>41.24</v>
      </c>
      <c r="H78" s="69">
        <v>1.1000000000000001</v>
      </c>
      <c r="I78" s="2">
        <f>F78*H78</f>
        <v>40.139000000000003</v>
      </c>
      <c r="J78" s="1">
        <f t="shared" ref="J78" si="74">H78*G78</f>
        <v>45.364000000000004</v>
      </c>
      <c r="K78" s="2">
        <f t="shared" ref="K78" si="75">J78-I78</f>
        <v>5.2250000000000014</v>
      </c>
      <c r="L78" s="56">
        <f t="shared" ref="L78" si="76">(J78/I78)-1</f>
        <v>0.13017265004110712</v>
      </c>
    </row>
    <row r="79" spans="2:12" x14ac:dyDescent="0.3">
      <c r="B79" s="24"/>
      <c r="C79" s="37"/>
      <c r="D79" s="3"/>
      <c r="E79" s="3"/>
      <c r="F79" s="1"/>
      <c r="G79" s="1"/>
      <c r="H79" s="69"/>
      <c r="I79" s="2"/>
      <c r="J79" s="1"/>
      <c r="K79" s="2"/>
      <c r="L79" s="56"/>
    </row>
    <row r="80" spans="2:12" x14ac:dyDescent="0.3">
      <c r="B80" s="24"/>
      <c r="C80" s="37"/>
      <c r="D80" s="3"/>
      <c r="E80" s="3"/>
      <c r="F80" s="1"/>
      <c r="G80" s="1"/>
      <c r="H80" s="69"/>
      <c r="I80" s="2"/>
      <c r="J80" s="1"/>
      <c r="K80" s="2"/>
      <c r="L80" s="56"/>
    </row>
    <row r="81" spans="1:27" ht="15" thickBot="1" x14ac:dyDescent="0.35"/>
    <row r="82" spans="1:27" x14ac:dyDescent="0.3">
      <c r="A82" s="116" t="s">
        <v>151</v>
      </c>
      <c r="B82" s="73" t="s">
        <v>105</v>
      </c>
      <c r="C82" s="74" t="s">
        <v>106</v>
      </c>
      <c r="D82" s="116" t="s">
        <v>150</v>
      </c>
      <c r="E82" s="73" t="s">
        <v>105</v>
      </c>
      <c r="F82" s="74" t="s">
        <v>106</v>
      </c>
      <c r="G82" s="116" t="s">
        <v>132</v>
      </c>
      <c r="H82" s="73" t="s">
        <v>105</v>
      </c>
      <c r="I82" s="74" t="s">
        <v>106</v>
      </c>
      <c r="J82" s="116" t="s">
        <v>131</v>
      </c>
      <c r="K82" s="73" t="s">
        <v>105</v>
      </c>
      <c r="L82" s="74" t="s">
        <v>106</v>
      </c>
      <c r="M82" s="116" t="s">
        <v>130</v>
      </c>
      <c r="N82" s="73" t="s">
        <v>105</v>
      </c>
      <c r="O82" s="74" t="s">
        <v>106</v>
      </c>
      <c r="P82" s="116" t="s">
        <v>129</v>
      </c>
      <c r="Q82" s="73" t="s">
        <v>105</v>
      </c>
      <c r="R82" s="74" t="s">
        <v>106</v>
      </c>
      <c r="S82" s="116" t="s">
        <v>128</v>
      </c>
      <c r="T82" s="73" t="s">
        <v>105</v>
      </c>
      <c r="U82" s="74" t="s">
        <v>106</v>
      </c>
      <c r="Z82" s="57"/>
      <c r="AA82" s="1"/>
    </row>
    <row r="83" spans="1:27" ht="15" thickBot="1" x14ac:dyDescent="0.35">
      <c r="A83" s="117"/>
      <c r="B83" s="83">
        <f>F100+E83</f>
        <v>702.17516201133992</v>
      </c>
      <c r="C83" s="84">
        <f>B83*0.05</f>
        <v>35.108758100566995</v>
      </c>
      <c r="D83" s="117"/>
      <c r="E83" s="83">
        <f>I100+H83</f>
        <v>692.54466201133994</v>
      </c>
      <c r="F83" s="84">
        <f>E83*0.05</f>
        <v>34.627233100566997</v>
      </c>
      <c r="G83" s="117"/>
      <c r="H83" s="83">
        <f>L100+K83</f>
        <v>692.54466201133994</v>
      </c>
      <c r="I83" s="84">
        <f>H83*0.05</f>
        <v>34.627233100566997</v>
      </c>
      <c r="J83" s="117"/>
      <c r="K83" s="83">
        <f>O100+N83</f>
        <v>672.10267975773991</v>
      </c>
      <c r="L83" s="84">
        <f>K83*0.05</f>
        <v>33.605133987886994</v>
      </c>
      <c r="M83" s="117"/>
      <c r="N83" s="83">
        <f>R100+Q83</f>
        <v>665.44350903553993</v>
      </c>
      <c r="O83" s="84">
        <f>N83*0.05</f>
        <v>33.272175451776995</v>
      </c>
      <c r="P83" s="117"/>
      <c r="Q83" s="83">
        <f>U100+T83+310.45</f>
        <v>640.48461882703998</v>
      </c>
      <c r="R83" s="84">
        <f>Q83*0.05</f>
        <v>32.024230941352002</v>
      </c>
      <c r="S83" s="117"/>
      <c r="T83" s="83">
        <f>'2025'!W87+'2025'!X109</f>
        <v>323.91580557944002</v>
      </c>
      <c r="U83" s="84">
        <f>T83*0.05</f>
        <v>16.195790278972002</v>
      </c>
      <c r="AA83" s="2"/>
    </row>
    <row r="84" spans="1:27" ht="15" thickBot="1" x14ac:dyDescent="0.35">
      <c r="A84" s="75" t="s">
        <v>30</v>
      </c>
      <c r="B84" s="76" t="s">
        <v>73</v>
      </c>
      <c r="C84" s="77" t="s">
        <v>36</v>
      </c>
      <c r="D84" s="75" t="s">
        <v>30</v>
      </c>
      <c r="E84" s="76" t="s">
        <v>73</v>
      </c>
      <c r="F84" s="77" t="s">
        <v>36</v>
      </c>
      <c r="G84" s="75" t="s">
        <v>30</v>
      </c>
      <c r="H84" s="76" t="s">
        <v>73</v>
      </c>
      <c r="I84" s="77" t="s">
        <v>36</v>
      </c>
      <c r="J84" s="75" t="s">
        <v>30</v>
      </c>
      <c r="K84" s="76" t="s">
        <v>73</v>
      </c>
      <c r="L84" s="77" t="s">
        <v>36</v>
      </c>
      <c r="M84" s="11" t="s">
        <v>30</v>
      </c>
      <c r="N84" s="71" t="s">
        <v>73</v>
      </c>
      <c r="O84" s="12" t="s">
        <v>36</v>
      </c>
      <c r="P84" s="11" t="s">
        <v>30</v>
      </c>
      <c r="Q84" s="71" t="s">
        <v>73</v>
      </c>
      <c r="R84" s="12" t="s">
        <v>36</v>
      </c>
      <c r="S84" s="11" t="s">
        <v>30</v>
      </c>
      <c r="T84" s="71" t="s">
        <v>73</v>
      </c>
      <c r="U84" s="12" t="s">
        <v>36</v>
      </c>
      <c r="AA84" s="2"/>
    </row>
    <row r="85" spans="1:27" x14ac:dyDescent="0.3">
      <c r="A85" s="37" t="str">
        <f>E78</f>
        <v>LNC</v>
      </c>
      <c r="B85" s="3">
        <f>D79</f>
        <v>0</v>
      </c>
      <c r="C85" s="82">
        <f>K78</f>
        <v>5.2250000000000014</v>
      </c>
      <c r="D85" s="3" t="str">
        <f>E77</f>
        <v>ESTC</v>
      </c>
      <c r="E85" s="3">
        <f>D77</f>
        <v>55</v>
      </c>
      <c r="F85" s="82">
        <f>K77</f>
        <v>9.6304999999999978</v>
      </c>
      <c r="J85" s="3" t="str">
        <f>E69</f>
        <v>PFE</v>
      </c>
      <c r="K85" s="3">
        <f>D69</f>
        <v>125</v>
      </c>
      <c r="L85" s="82">
        <f>K69</f>
        <v>1.2070038792000002</v>
      </c>
      <c r="M85" s="3" t="str">
        <f>E65</f>
        <v>TGT</v>
      </c>
      <c r="N85" s="3">
        <f>D65</f>
        <v>49</v>
      </c>
      <c r="O85" s="113">
        <f>K65</f>
        <v>1.3238356031999992</v>
      </c>
      <c r="P85" s="3" t="str">
        <f>E51</f>
        <v>VZ</v>
      </c>
      <c r="Q85" s="3">
        <f>D51</f>
        <v>68</v>
      </c>
      <c r="R85" s="113">
        <f>K51</f>
        <v>1.1021505200000004</v>
      </c>
      <c r="S85" s="3" t="str">
        <f>E45</f>
        <v>CVX</v>
      </c>
      <c r="T85" s="3">
        <f t="shared" ref="T85:T90" si="77">D45</f>
        <v>34</v>
      </c>
      <c r="U85" s="113">
        <f t="shared" ref="U85:U90" si="78">K45</f>
        <v>1.1780364799999994</v>
      </c>
      <c r="AA85" s="2"/>
    </row>
    <row r="86" spans="1:27" x14ac:dyDescent="0.3">
      <c r="J86" s="3" t="str">
        <f>E70</f>
        <v>WMG</v>
      </c>
      <c r="K86" s="79">
        <f>D70</f>
        <v>9</v>
      </c>
      <c r="L86" s="114">
        <f>K70</f>
        <v>2.9800000000000004</v>
      </c>
      <c r="M86" s="3" t="str">
        <f>E66</f>
        <v>BYDDY</v>
      </c>
      <c r="N86" s="3">
        <f>D66</f>
        <v>90</v>
      </c>
      <c r="O86" s="113">
        <f>K66</f>
        <v>1.2678868469999998</v>
      </c>
      <c r="P86" s="3" t="str">
        <f>E52</f>
        <v>AES</v>
      </c>
      <c r="Q86" s="3">
        <f>D52</f>
        <v>68</v>
      </c>
      <c r="R86" s="113">
        <f>K52</f>
        <v>1.5003589210000001</v>
      </c>
      <c r="S86" s="3" t="str">
        <f>E46</f>
        <v>LIN</v>
      </c>
      <c r="T86" s="3">
        <f t="shared" si="77"/>
        <v>47</v>
      </c>
      <c r="U86" s="113">
        <f t="shared" si="78"/>
        <v>0.89199336399999929</v>
      </c>
      <c r="AA86" s="2"/>
    </row>
    <row r="87" spans="1:27" x14ac:dyDescent="0.3">
      <c r="J87" s="3" t="str">
        <f t="shared" ref="J87:J91" si="79">E71</f>
        <v>PENG</v>
      </c>
      <c r="K87" s="3">
        <f t="shared" ref="K87:K91" si="80">D71</f>
        <v>129</v>
      </c>
      <c r="L87" s="113">
        <f t="shared" ref="L87:L88" si="81">K71</f>
        <v>1.4730041269999976</v>
      </c>
      <c r="M87" s="3" t="str">
        <f>E67</f>
        <v>BRZE</v>
      </c>
      <c r="N87" s="3">
        <f>D67</f>
        <v>47</v>
      </c>
      <c r="O87" s="113">
        <f>K67</f>
        <v>2.9639999999999986</v>
      </c>
      <c r="P87" s="3" t="str">
        <f t="shared" ref="P87:P94" si="82">E54</f>
        <v>RUN</v>
      </c>
      <c r="Q87" s="112">
        <f t="shared" ref="Q87:Q93" si="83">D54</f>
        <v>2</v>
      </c>
      <c r="R87" s="64">
        <f t="shared" ref="R87:R93" si="84">K54</f>
        <v>2.8419999999999952</v>
      </c>
      <c r="S87" s="3" t="str">
        <f>E47</f>
        <v>O</v>
      </c>
      <c r="T87" s="3">
        <f t="shared" si="77"/>
        <v>37</v>
      </c>
      <c r="U87" s="113">
        <f t="shared" si="78"/>
        <v>0.9415904277999978</v>
      </c>
      <c r="AA87" s="2"/>
    </row>
    <row r="88" spans="1:27" x14ac:dyDescent="0.3">
      <c r="J88" s="3" t="str">
        <f t="shared" si="79"/>
        <v>UNH</v>
      </c>
      <c r="K88" s="3">
        <f t="shared" si="80"/>
        <v>77</v>
      </c>
      <c r="L88" s="113">
        <f t="shared" si="81"/>
        <v>2.6961300000000001</v>
      </c>
      <c r="M88" s="3" t="str">
        <f>E68</f>
        <v>NEXT</v>
      </c>
      <c r="N88" s="3">
        <f>D68</f>
        <v>170</v>
      </c>
      <c r="O88" s="113">
        <f>K68</f>
        <v>1.1034482719999996</v>
      </c>
      <c r="P88" s="3" t="str">
        <f t="shared" si="82"/>
        <v>ATEN</v>
      </c>
      <c r="Q88" s="3">
        <f t="shared" si="83"/>
        <v>60</v>
      </c>
      <c r="R88" s="113">
        <f t="shared" si="84"/>
        <v>1.1993299825000001</v>
      </c>
      <c r="S88" s="3" t="s">
        <v>94</v>
      </c>
      <c r="T88" s="112">
        <f t="shared" si="77"/>
        <v>6</v>
      </c>
      <c r="U88" s="64">
        <f t="shared" si="78"/>
        <v>0.21000000000000085</v>
      </c>
      <c r="AA88" s="2"/>
    </row>
    <row r="89" spans="1:27" x14ac:dyDescent="0.3">
      <c r="J89" s="3" t="str">
        <f t="shared" si="79"/>
        <v>APLE</v>
      </c>
      <c r="K89" s="3">
        <f t="shared" si="80"/>
        <v>77</v>
      </c>
      <c r="L89" s="113">
        <f t="shared" ref="L89" si="85">K73</f>
        <v>2.5488</v>
      </c>
      <c r="P89" s="3" t="str">
        <f t="shared" si="82"/>
        <v>AAL</v>
      </c>
      <c r="Q89" s="112">
        <f t="shared" si="83"/>
        <v>7</v>
      </c>
      <c r="R89" s="64">
        <f t="shared" si="84"/>
        <v>2.7740000000000009</v>
      </c>
      <c r="S89" s="3" t="str">
        <f>E49</f>
        <v>CLSK</v>
      </c>
      <c r="T89" s="79">
        <f t="shared" si="77"/>
        <v>18</v>
      </c>
      <c r="U89" s="78">
        <f t="shared" si="78"/>
        <v>1.6978648786000008</v>
      </c>
      <c r="AA89" s="2"/>
    </row>
    <row r="90" spans="1:27" x14ac:dyDescent="0.3">
      <c r="J90" s="3" t="str">
        <f t="shared" si="79"/>
        <v>CLSK</v>
      </c>
      <c r="K90" s="3">
        <f t="shared" si="80"/>
        <v>73</v>
      </c>
      <c r="L90" s="113">
        <f t="shared" ref="L90:L91" si="86">K74</f>
        <v>1.6150442473999966</v>
      </c>
      <c r="P90" s="3" t="str">
        <f t="shared" si="82"/>
        <v>STM</v>
      </c>
      <c r="Q90" s="3">
        <f t="shared" si="83"/>
        <v>110</v>
      </c>
      <c r="R90" s="113">
        <f t="shared" si="84"/>
        <v>1.0404817555000001</v>
      </c>
      <c r="S90" s="3" t="str">
        <f>E50</f>
        <v>BEKE</v>
      </c>
      <c r="T90" s="3">
        <f t="shared" si="77"/>
        <v>97</v>
      </c>
      <c r="U90" s="113">
        <f t="shared" si="78"/>
        <v>1.1993280972000004</v>
      </c>
      <c r="AA90" s="2"/>
    </row>
    <row r="91" spans="1:27" x14ac:dyDescent="0.3">
      <c r="J91" s="3" t="str">
        <f t="shared" si="79"/>
        <v>CLSK</v>
      </c>
      <c r="K91" s="3">
        <f t="shared" si="80"/>
        <v>45</v>
      </c>
      <c r="L91" s="113">
        <f t="shared" si="86"/>
        <v>3.8599999999999994</v>
      </c>
      <c r="N91" s="3"/>
      <c r="O91" s="3"/>
      <c r="P91" s="113" t="str">
        <f t="shared" si="82"/>
        <v>T</v>
      </c>
      <c r="Q91" s="3">
        <f t="shared" si="83"/>
        <v>69</v>
      </c>
      <c r="R91" s="113">
        <f t="shared" si="84"/>
        <v>1.3197651410999995</v>
      </c>
      <c r="S91" s="3"/>
      <c r="T91" s="3"/>
      <c r="U91" s="1"/>
      <c r="AA91" s="2"/>
    </row>
    <row r="92" spans="1:27" x14ac:dyDescent="0.3">
      <c r="J92" s="3" t="str">
        <f t="shared" ref="J92" si="87">E76</f>
        <v>AMBA</v>
      </c>
      <c r="K92" s="112">
        <f t="shared" ref="K92" si="88">D76</f>
        <v>2</v>
      </c>
      <c r="L92" s="115">
        <f t="shared" ref="L92" si="89">K76</f>
        <v>4.0620000000000047</v>
      </c>
      <c r="P92" s="3" t="str">
        <f t="shared" si="82"/>
        <v>HIMX</v>
      </c>
      <c r="Q92" s="112">
        <f t="shared" si="83"/>
        <v>7</v>
      </c>
      <c r="R92" s="64">
        <f t="shared" si="84"/>
        <v>3.5019999999999953</v>
      </c>
      <c r="S92" s="3"/>
      <c r="T92" s="3"/>
      <c r="U92" s="1"/>
      <c r="AA92" s="2"/>
    </row>
    <row r="93" spans="1:27" x14ac:dyDescent="0.3">
      <c r="P93" s="3" t="str">
        <f t="shared" si="82"/>
        <v>CROX</v>
      </c>
      <c r="Q93" s="3">
        <f t="shared" si="83"/>
        <v>162</v>
      </c>
      <c r="R93" s="113">
        <f t="shared" si="84"/>
        <v>0.85882740440000127</v>
      </c>
      <c r="S93" s="3"/>
      <c r="T93" s="3"/>
      <c r="U93" s="1"/>
      <c r="AA93" s="2"/>
    </row>
    <row r="94" spans="1:27" x14ac:dyDescent="0.3">
      <c r="P94" s="3" t="str">
        <f t="shared" si="82"/>
        <v>OXY</v>
      </c>
      <c r="Q94" s="79">
        <f t="shared" ref="Q94" si="90">D61</f>
        <v>27</v>
      </c>
      <c r="R94" s="78">
        <f t="shared" ref="R94" si="91">K61</f>
        <v>1.5015499999999999</v>
      </c>
      <c r="S94" s="3"/>
      <c r="T94" s="3"/>
      <c r="U94" s="1"/>
      <c r="AA94" s="2"/>
    </row>
    <row r="95" spans="1:27" x14ac:dyDescent="0.3">
      <c r="P95" s="3" t="str">
        <f t="shared" ref="P95" si="92">E62</f>
        <v>GOOD</v>
      </c>
      <c r="Q95" s="3">
        <f t="shared" ref="Q95" si="93">D62</f>
        <v>136</v>
      </c>
      <c r="R95" s="113">
        <f t="shared" ref="R95" si="94">K62</f>
        <v>1.0411198497000012</v>
      </c>
      <c r="S95" s="3"/>
      <c r="T95" s="3"/>
      <c r="U95" s="1"/>
      <c r="AA95" s="2"/>
    </row>
    <row r="96" spans="1:27" x14ac:dyDescent="0.3">
      <c r="P96" s="3" t="str">
        <f t="shared" ref="P96" si="95">E63</f>
        <v>LPL</v>
      </c>
      <c r="Q96" s="3">
        <f t="shared" ref="Q96" si="96">D63</f>
        <v>89</v>
      </c>
      <c r="R96" s="113">
        <f t="shared" ref="R96" si="97">K63</f>
        <v>1.2783066343000016</v>
      </c>
      <c r="S96" s="3"/>
      <c r="T96" s="3"/>
      <c r="U96" s="1"/>
      <c r="AA96" s="2"/>
    </row>
    <row r="97" spans="2:27" x14ac:dyDescent="0.3">
      <c r="P97" s="3" t="str">
        <f t="shared" ref="P97" si="98">E64</f>
        <v>NFLX</v>
      </c>
      <c r="Q97" s="79">
        <f t="shared" ref="Q97" si="99">D64</f>
        <v>17</v>
      </c>
      <c r="R97" s="78">
        <f t="shared" ref="R97" si="100">K64</f>
        <v>4.3289999999999971</v>
      </c>
      <c r="S97" s="3"/>
      <c r="T97" s="3"/>
      <c r="U97" s="1"/>
      <c r="AA97" s="2"/>
    </row>
    <row r="98" spans="2:27" x14ac:dyDescent="0.3">
      <c r="P98" s="3" t="s">
        <v>54</v>
      </c>
      <c r="Q98" s="3">
        <v>63</v>
      </c>
      <c r="R98" s="113">
        <v>0.67</v>
      </c>
      <c r="S98" s="3"/>
      <c r="T98" s="3"/>
      <c r="U98" s="1"/>
      <c r="AA98" s="2"/>
    </row>
    <row r="100" spans="2:27" x14ac:dyDescent="0.3">
      <c r="B100" s="80">
        <f>COUNT(B85:B99)</f>
        <v>1</v>
      </c>
      <c r="C100" s="81">
        <f>SUM(C85:C99)</f>
        <v>5.2250000000000014</v>
      </c>
      <c r="E100" s="80">
        <f>COUNT(E85:E99)</f>
        <v>1</v>
      </c>
      <c r="F100" s="81">
        <f>SUM(F85:F99)</f>
        <v>9.6304999999999978</v>
      </c>
      <c r="H100" s="80">
        <f>COUNT(H85:H99)</f>
        <v>0</v>
      </c>
      <c r="I100" s="81">
        <f>SUM(I85:I99)</f>
        <v>0</v>
      </c>
      <c r="J100" s="34"/>
      <c r="K100" s="80">
        <f>COUNT(K85:K99)</f>
        <v>8</v>
      </c>
      <c r="L100" s="81">
        <f>SUM(L85:L99)</f>
        <v>20.441982253599999</v>
      </c>
      <c r="M100" s="47"/>
      <c r="N100" s="80">
        <f>COUNT(N85:N99)</f>
        <v>4</v>
      </c>
      <c r="O100" s="81">
        <f>SUM(O85:O99)</f>
        <v>6.6591707221999972</v>
      </c>
      <c r="P100" s="47"/>
      <c r="Q100" s="80">
        <f>COUNT(Q85:Q99)</f>
        <v>14</v>
      </c>
      <c r="R100" s="81">
        <f>SUM(R85:R99)</f>
        <v>24.958890208499998</v>
      </c>
      <c r="S100" s="80">
        <f>COUNTIF(T85:T99,"&gt;0")</f>
        <v>6</v>
      </c>
      <c r="T100" s="110">
        <f>AVERAGE(T85:T99)</f>
        <v>39.833333333333336</v>
      </c>
      <c r="U100" s="81">
        <f>SUM(U85:U99)</f>
        <v>6.1188132475999986</v>
      </c>
      <c r="W100" s="111"/>
    </row>
    <row r="101" spans="2:27" x14ac:dyDescent="0.3">
      <c r="B101" s="51" t="s">
        <v>108</v>
      </c>
      <c r="C101" s="85">
        <f>C100-C83</f>
        <v>-29.883758100566993</v>
      </c>
      <c r="E101" s="51" t="s">
        <v>108</v>
      </c>
      <c r="F101" s="85">
        <f>F100-F83</f>
        <v>-24.996733100566999</v>
      </c>
      <c r="H101" s="51" t="s">
        <v>108</v>
      </c>
      <c r="I101" s="85">
        <f>I100-I83</f>
        <v>-34.627233100566997</v>
      </c>
      <c r="J101" s="34"/>
      <c r="K101" s="51" t="s">
        <v>108</v>
      </c>
      <c r="L101" s="85">
        <f>L100-L83</f>
        <v>-13.163151734286995</v>
      </c>
      <c r="M101" s="47"/>
      <c r="N101" s="51" t="s">
        <v>108</v>
      </c>
      <c r="O101" s="85">
        <f>O100-O83</f>
        <v>-26.613004729577</v>
      </c>
      <c r="P101" s="47"/>
      <c r="Q101" s="51" t="s">
        <v>108</v>
      </c>
      <c r="R101" s="85">
        <f>R100-R83</f>
        <v>-7.0653407328520039</v>
      </c>
      <c r="S101" s="47"/>
      <c r="T101" s="51" t="s">
        <v>108</v>
      </c>
      <c r="U101" s="85">
        <f>U100-U83</f>
        <v>-10.076977031372003</v>
      </c>
    </row>
    <row r="102" spans="2:27" x14ac:dyDescent="0.3">
      <c r="B102" s="2" t="s">
        <v>116</v>
      </c>
      <c r="C102" s="86">
        <f>C100/C83</f>
        <v>0.14882326469746646</v>
      </c>
      <c r="E102" s="2" t="s">
        <v>116</v>
      </c>
      <c r="F102" s="86">
        <f>F100/F83</f>
        <v>0.27811924712639846</v>
      </c>
      <c r="H102" s="2" t="s">
        <v>116</v>
      </c>
      <c r="I102" s="86">
        <f>I100/I83</f>
        <v>0</v>
      </c>
      <c r="J102" s="2"/>
      <c r="K102" s="2" t="s">
        <v>111</v>
      </c>
      <c r="L102" s="86">
        <f>L100/L83</f>
        <v>0.60829938249817228</v>
      </c>
      <c r="M102" s="2"/>
      <c r="N102" s="2" t="s">
        <v>111</v>
      </c>
      <c r="O102" s="86">
        <f>O100/O83</f>
        <v>0.20014233009354804</v>
      </c>
      <c r="Q102" s="2" t="s">
        <v>111</v>
      </c>
      <c r="R102" s="86">
        <f>R100/R83</f>
        <v>0.7793751629573491</v>
      </c>
      <c r="T102" s="2" t="s">
        <v>111</v>
      </c>
      <c r="U102" s="86">
        <f>U100/U83</f>
        <v>0.37780269700975527</v>
      </c>
    </row>
    <row r="103" spans="2:27" x14ac:dyDescent="0.3">
      <c r="B103" t="s">
        <v>114</v>
      </c>
      <c r="C103" s="1">
        <f>B83*0.05</f>
        <v>35.108758100566995</v>
      </c>
      <c r="E103" t="s">
        <v>114</v>
      </c>
      <c r="F103" s="1">
        <f>E83*0.05</f>
        <v>34.627233100566997</v>
      </c>
      <c r="H103" t="s">
        <v>114</v>
      </c>
      <c r="I103" s="1">
        <f>H83*0.05</f>
        <v>34.627233100566997</v>
      </c>
      <c r="J103" s="47"/>
      <c r="K103" t="s">
        <v>114</v>
      </c>
      <c r="L103" s="1">
        <f>K83*0.05</f>
        <v>33.605133987886994</v>
      </c>
      <c r="N103" t="s">
        <v>114</v>
      </c>
      <c r="O103" s="1">
        <f>N83*0.05</f>
        <v>33.272175451776995</v>
      </c>
      <c r="Q103" t="s">
        <v>114</v>
      </c>
      <c r="R103" s="1">
        <f>Q83*0.05</f>
        <v>32.024230941352002</v>
      </c>
      <c r="T103" t="s">
        <v>114</v>
      </c>
      <c r="U103" s="1">
        <f>T83*0.05</f>
        <v>16.195790278972002</v>
      </c>
    </row>
    <row r="104" spans="2:27" x14ac:dyDescent="0.3">
      <c r="B104" t="s">
        <v>117</v>
      </c>
      <c r="C104" s="57">
        <f>C100/B83</f>
        <v>7.4411632348733228E-3</v>
      </c>
      <c r="E104" t="s">
        <v>117</v>
      </c>
      <c r="F104" s="57">
        <f>F100/E83</f>
        <v>1.3905962356319924E-2</v>
      </c>
      <c r="H104" t="s">
        <v>117</v>
      </c>
      <c r="I104" s="57">
        <f>I100/H83</f>
        <v>0</v>
      </c>
      <c r="J104" s="47"/>
      <c r="K104" t="s">
        <v>117</v>
      </c>
      <c r="L104" s="57">
        <f>L100/K83</f>
        <v>3.0414969124908611E-2</v>
      </c>
      <c r="N104" t="s">
        <v>117</v>
      </c>
      <c r="O104" s="57">
        <f>O100/N83</f>
        <v>1.0007116504677402E-2</v>
      </c>
      <c r="Q104" t="s">
        <v>117</v>
      </c>
      <c r="R104" s="57">
        <f>R100/Q83</f>
        <v>3.8968758147867461E-2</v>
      </c>
      <c r="T104" t="s">
        <v>117</v>
      </c>
      <c r="U104" s="57">
        <f>U100/T83</f>
        <v>1.8890134850487763E-2</v>
      </c>
    </row>
    <row r="105" spans="2:27" x14ac:dyDescent="0.3">
      <c r="B105" t="s">
        <v>138</v>
      </c>
      <c r="C105" s="56">
        <f>C100/$A$41</f>
        <v>8.4563345633456351E-3</v>
      </c>
      <c r="E105" t="s">
        <v>138</v>
      </c>
      <c r="F105" s="56">
        <f>F100/$A$41</f>
        <v>1.5586359810966528E-2</v>
      </c>
      <c r="H105" t="s">
        <v>138</v>
      </c>
      <c r="I105" s="56">
        <f>I100/$A$41</f>
        <v>0</v>
      </c>
      <c r="K105" t="s">
        <v>138</v>
      </c>
      <c r="L105" s="56">
        <f>L100/$A$41</f>
        <v>3.308406527740014E-2</v>
      </c>
      <c r="N105" t="s">
        <v>138</v>
      </c>
      <c r="O105" s="57">
        <f>O100/$A$41</f>
        <v>1.0777449864374955E-2</v>
      </c>
      <c r="Q105" t="s">
        <v>138</v>
      </c>
      <c r="R105" s="57">
        <f>R100/$A$41</f>
        <v>4.0394397307729653E-2</v>
      </c>
      <c r="T105" t="s">
        <v>138</v>
      </c>
      <c r="U105" s="57">
        <f>U100/(A41-310.45)</f>
        <v>1.9903110456364045E-2</v>
      </c>
    </row>
    <row r="110" spans="2:27" x14ac:dyDescent="0.3">
      <c r="I110" s="4"/>
    </row>
    <row r="111" spans="2:27" x14ac:dyDescent="0.3">
      <c r="I111" s="1"/>
      <c r="J111" s="2"/>
    </row>
    <row r="112" spans="2:27" x14ac:dyDescent="0.3">
      <c r="I112" s="2"/>
      <c r="J112" s="2"/>
    </row>
  </sheetData>
  <mergeCells count="9">
    <mergeCell ref="S82:S83"/>
    <mergeCell ref="A39:B39"/>
    <mergeCell ref="C39:E39"/>
    <mergeCell ref="G82:G83"/>
    <mergeCell ref="J82:J83"/>
    <mergeCell ref="M82:M83"/>
    <mergeCell ref="P82:P83"/>
    <mergeCell ref="D82:D83"/>
    <mergeCell ref="A82:A8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9EB9-DBE6-43E1-93CC-CE89E1833463}">
  <dimension ref="A1:AH145"/>
  <sheetViews>
    <sheetView tabSelected="1" topLeftCell="H78" zoomScale="90" zoomScaleNormal="90" workbookViewId="0">
      <selection activeCell="K87" sqref="K87"/>
    </sheetView>
  </sheetViews>
  <sheetFormatPr baseColWidth="10" defaultRowHeight="14.4" x14ac:dyDescent="0.3"/>
  <cols>
    <col min="10" max="10" width="13.44140625" customWidth="1"/>
    <col min="11" max="11" width="15.109375" customWidth="1"/>
    <col min="12" max="12" width="14.5546875" customWidth="1"/>
    <col min="13" max="13" width="14" bestFit="1" customWidth="1"/>
    <col min="14" max="14" width="15.88671875" customWidth="1"/>
    <col min="15" max="15" width="18.44140625" customWidth="1"/>
    <col min="16" max="16" width="16.6640625" customWidth="1"/>
    <col min="17" max="19" width="16.21875" customWidth="1"/>
    <col min="20" max="20" width="15.33203125" customWidth="1"/>
    <col min="21" max="21" width="18" customWidth="1"/>
    <col min="22" max="22" width="15.44140625" customWidth="1"/>
    <col min="23" max="23" width="17.33203125" customWidth="1"/>
    <col min="24" max="24" width="15" customWidth="1"/>
    <col min="25" max="25" width="15.33203125" customWidth="1"/>
  </cols>
  <sheetData>
    <row r="1" spans="1:20" x14ac:dyDescent="0.3">
      <c r="A1" s="5">
        <v>45882</v>
      </c>
      <c r="B1" s="6" t="s">
        <v>20</v>
      </c>
      <c r="C1" s="7" t="s">
        <v>21</v>
      </c>
      <c r="D1" s="5">
        <v>45885</v>
      </c>
      <c r="E1" s="6" t="s">
        <v>20</v>
      </c>
      <c r="F1" s="7" t="s">
        <v>21</v>
      </c>
      <c r="G1" s="28">
        <v>45895</v>
      </c>
      <c r="H1" s="6" t="s">
        <v>20</v>
      </c>
      <c r="I1" s="7" t="s">
        <v>33</v>
      </c>
      <c r="K1" s="3" t="s">
        <v>37</v>
      </c>
      <c r="L1" s="3" t="s">
        <v>43</v>
      </c>
      <c r="M1" s="3" t="s">
        <v>39</v>
      </c>
      <c r="N1" s="23" t="s">
        <v>30</v>
      </c>
      <c r="O1" t="s">
        <v>37</v>
      </c>
      <c r="P1" t="s">
        <v>40</v>
      </c>
      <c r="Q1" s="3" t="s">
        <v>50</v>
      </c>
      <c r="R1" s="3"/>
      <c r="S1" s="3"/>
    </row>
    <row r="2" spans="1:20" x14ac:dyDescent="0.3">
      <c r="A2" s="8" t="s">
        <v>17</v>
      </c>
      <c r="B2" s="13">
        <v>4.4800000000000004</v>
      </c>
      <c r="C2" s="9"/>
      <c r="D2" s="27" t="s">
        <v>29</v>
      </c>
      <c r="E2" s="26">
        <v>13.88</v>
      </c>
      <c r="F2" s="25">
        <f>E2*1.2^10</f>
        <v>85.941301542911987</v>
      </c>
      <c r="G2" s="19"/>
      <c r="I2" s="18"/>
      <c r="K2" s="37">
        <v>45895</v>
      </c>
      <c r="L2" s="3">
        <f ca="1">$K$35-K2</f>
        <v>323</v>
      </c>
      <c r="M2" s="3">
        <f>MONTH(K2)</f>
        <v>8</v>
      </c>
      <c r="N2" s="3" t="s">
        <v>31</v>
      </c>
      <c r="O2" s="1">
        <v>21.145000000000003</v>
      </c>
      <c r="P2" s="69">
        <v>1.8044631</v>
      </c>
      <c r="Q2" s="67">
        <f>O2*P2</f>
        <v>38.155372249500005</v>
      </c>
      <c r="R2" s="67"/>
    </row>
    <row r="3" spans="1:20" x14ac:dyDescent="0.3">
      <c r="A3" s="8" t="s">
        <v>3</v>
      </c>
      <c r="B3" s="13">
        <v>0.7</v>
      </c>
      <c r="C3" s="9"/>
      <c r="D3" s="19"/>
      <c r="F3" s="18"/>
      <c r="G3" s="10" t="s">
        <v>31</v>
      </c>
      <c r="H3" s="26">
        <v>21.37</v>
      </c>
      <c r="I3" s="29">
        <v>22.41</v>
      </c>
      <c r="K3" s="37">
        <v>45898</v>
      </c>
      <c r="L3" s="3">
        <f ca="1">$K$35-K3</f>
        <v>320</v>
      </c>
      <c r="M3" s="3">
        <f>MONTH(K3)</f>
        <v>8</v>
      </c>
      <c r="N3" s="3" t="s">
        <v>4</v>
      </c>
      <c r="O3" s="1">
        <v>83.4</v>
      </c>
      <c r="P3" s="69">
        <v>0.11990407</v>
      </c>
      <c r="Q3" s="2">
        <f>O3*P3</f>
        <v>9.9999994380000015</v>
      </c>
      <c r="R3" s="38"/>
    </row>
    <row r="4" spans="1:20" x14ac:dyDescent="0.3">
      <c r="A4" s="8" t="s">
        <v>12</v>
      </c>
      <c r="B4" s="13">
        <v>6.76</v>
      </c>
      <c r="C4" s="9"/>
      <c r="D4" s="19"/>
      <c r="F4" s="18"/>
      <c r="G4" s="8" t="s">
        <v>32</v>
      </c>
      <c r="H4" s="17">
        <v>16.920000000000002</v>
      </c>
      <c r="I4" s="29">
        <v>16</v>
      </c>
      <c r="K4" s="37">
        <v>45903</v>
      </c>
      <c r="L4" s="3">
        <f ca="1">$K$35-K4</f>
        <v>315</v>
      </c>
      <c r="M4" s="3">
        <f>MONTH(K4)</f>
        <v>9</v>
      </c>
      <c r="N4" s="3" t="s">
        <v>49</v>
      </c>
      <c r="O4" s="1">
        <v>90.57</v>
      </c>
      <c r="P4" s="69">
        <v>9.2745939999999999E-2</v>
      </c>
      <c r="Q4" s="2">
        <f>O4*P4</f>
        <v>8.3999997857999986</v>
      </c>
      <c r="R4" s="38"/>
    </row>
    <row r="5" spans="1:20" ht="15" thickBot="1" x14ac:dyDescent="0.35">
      <c r="A5" s="10" t="s">
        <v>5</v>
      </c>
      <c r="B5" s="14">
        <v>14.48</v>
      </c>
      <c r="C5" s="2">
        <f>B5*1.2^10</f>
        <v>89.656343396351986</v>
      </c>
      <c r="D5" s="19"/>
      <c r="F5" s="18"/>
      <c r="G5" s="8" t="s">
        <v>41</v>
      </c>
      <c r="H5" s="17">
        <v>13.45</v>
      </c>
      <c r="I5" s="29">
        <v>12.85</v>
      </c>
      <c r="P5" s="69"/>
      <c r="T5" s="4"/>
    </row>
    <row r="6" spans="1:20" x14ac:dyDescent="0.3">
      <c r="A6" s="8" t="s">
        <v>14</v>
      </c>
      <c r="B6" s="13">
        <v>10.25</v>
      </c>
      <c r="C6" s="9"/>
      <c r="D6" s="5">
        <v>45889</v>
      </c>
      <c r="E6" s="6" t="s">
        <v>20</v>
      </c>
      <c r="F6" s="7" t="s">
        <v>21</v>
      </c>
      <c r="G6" s="40" t="s">
        <v>42</v>
      </c>
      <c r="H6" s="17">
        <v>15.44</v>
      </c>
      <c r="I6" s="29">
        <v>14</v>
      </c>
      <c r="J6">
        <v>1</v>
      </c>
      <c r="K6" s="37">
        <v>45915</v>
      </c>
      <c r="L6" s="3">
        <f t="shared" ref="L6:L13" ca="1" si="0">$K$35-K6</f>
        <v>303</v>
      </c>
      <c r="M6" s="3">
        <f t="shared" ref="M6:M19" si="1">MONTH(K6)</f>
        <v>9</v>
      </c>
      <c r="N6" s="3" t="s">
        <v>51</v>
      </c>
      <c r="O6" s="1">
        <v>14.18</v>
      </c>
      <c r="P6" s="69">
        <v>0.70521860999999997</v>
      </c>
      <c r="Q6" s="2">
        <f t="shared" ref="Q6:Q15" si="2">O6*P6</f>
        <v>9.9999998897999998</v>
      </c>
      <c r="R6" s="38"/>
      <c r="T6" s="56"/>
    </row>
    <row r="7" spans="1:20" x14ac:dyDescent="0.3">
      <c r="A7" s="8" t="s">
        <v>8</v>
      </c>
      <c r="B7" s="13">
        <v>13.9</v>
      </c>
      <c r="C7" s="9"/>
      <c r="D7" s="27" t="s">
        <v>4</v>
      </c>
      <c r="E7" s="26">
        <v>2.7</v>
      </c>
      <c r="F7" s="25">
        <f>E7*1.2^10</f>
        <v>16.717688340479999</v>
      </c>
      <c r="G7" s="19"/>
      <c r="H7" s="17"/>
      <c r="I7" s="29"/>
      <c r="J7">
        <v>2</v>
      </c>
      <c r="K7" s="37">
        <v>45932</v>
      </c>
      <c r="L7" s="3">
        <f t="shared" ca="1" si="0"/>
        <v>286</v>
      </c>
      <c r="M7" s="3">
        <f t="shared" si="1"/>
        <v>10</v>
      </c>
      <c r="N7" s="3" t="s">
        <v>76</v>
      </c>
      <c r="O7" s="1">
        <v>7.87</v>
      </c>
      <c r="P7" s="69">
        <v>1.27064803</v>
      </c>
      <c r="Q7" s="2">
        <f t="shared" si="2"/>
        <v>9.9999999960999997</v>
      </c>
      <c r="R7" s="38"/>
    </row>
    <row r="8" spans="1:20" x14ac:dyDescent="0.3">
      <c r="A8" s="10" t="s">
        <v>2</v>
      </c>
      <c r="B8" s="14">
        <v>2.2400000000000002</v>
      </c>
      <c r="C8" s="2">
        <f>B8*1.2^10</f>
        <v>13.869489586176</v>
      </c>
      <c r="D8" s="19"/>
      <c r="E8" s="2"/>
      <c r="F8" s="18"/>
      <c r="G8" s="19"/>
      <c r="H8" s="17"/>
      <c r="I8" s="29"/>
      <c r="J8">
        <v>3</v>
      </c>
      <c r="K8" s="37">
        <v>45937</v>
      </c>
      <c r="L8" s="3">
        <f t="shared" ca="1" si="0"/>
        <v>281</v>
      </c>
      <c r="M8" s="3">
        <f t="shared" si="1"/>
        <v>10</v>
      </c>
      <c r="N8" s="3" t="s">
        <v>93</v>
      </c>
      <c r="O8" s="1">
        <v>11.43</v>
      </c>
      <c r="P8" s="69">
        <v>0.87489063</v>
      </c>
      <c r="Q8" s="2">
        <f t="shared" si="2"/>
        <v>9.9999999008999989</v>
      </c>
      <c r="R8" s="38"/>
      <c r="T8" s="1"/>
    </row>
    <row r="9" spans="1:20" x14ac:dyDescent="0.3">
      <c r="A9" s="8" t="s">
        <v>16</v>
      </c>
      <c r="B9" s="13">
        <v>5.57</v>
      </c>
      <c r="C9" s="9"/>
      <c r="D9" s="19"/>
      <c r="F9" s="18"/>
      <c r="G9" s="19"/>
      <c r="H9" s="17"/>
      <c r="I9" s="29"/>
      <c r="J9">
        <v>4</v>
      </c>
      <c r="K9" s="37">
        <v>45937</v>
      </c>
      <c r="L9" s="3">
        <f t="shared" ca="1" si="0"/>
        <v>281</v>
      </c>
      <c r="M9" s="3">
        <f t="shared" si="1"/>
        <v>10</v>
      </c>
      <c r="N9" s="3" t="s">
        <v>84</v>
      </c>
      <c r="O9" s="1">
        <v>7.25</v>
      </c>
      <c r="P9" s="69">
        <v>1.37931034</v>
      </c>
      <c r="Q9" s="2">
        <f t="shared" si="2"/>
        <v>9.9999999650000007</v>
      </c>
      <c r="R9" s="38"/>
    </row>
    <row r="10" spans="1:20" ht="15" thickBot="1" x14ac:dyDescent="0.35">
      <c r="A10" s="8" t="s">
        <v>19</v>
      </c>
      <c r="B10" s="13">
        <v>4.9295</v>
      </c>
      <c r="C10" s="9"/>
      <c r="D10" s="19"/>
      <c r="F10" s="18"/>
      <c r="G10" s="19"/>
      <c r="H10" s="17"/>
      <c r="I10" s="29"/>
      <c r="J10">
        <v>5</v>
      </c>
      <c r="K10" s="37">
        <v>45951</v>
      </c>
      <c r="L10" s="3">
        <f t="shared" ca="1" si="0"/>
        <v>267</v>
      </c>
      <c r="M10" s="3">
        <f t="shared" si="1"/>
        <v>10</v>
      </c>
      <c r="N10" s="3" t="s">
        <v>90</v>
      </c>
      <c r="O10" s="1">
        <v>22.03</v>
      </c>
      <c r="P10" s="69">
        <v>0.52564683999999995</v>
      </c>
      <c r="Q10" s="2">
        <f t="shared" si="2"/>
        <v>11.579999885199999</v>
      </c>
      <c r="R10" s="38"/>
      <c r="T10" s="56"/>
    </row>
    <row r="11" spans="1:20" x14ac:dyDescent="0.3">
      <c r="A11" s="8" t="s">
        <v>18</v>
      </c>
      <c r="B11" s="13">
        <v>7211</v>
      </c>
      <c r="C11" s="9"/>
      <c r="D11" s="28">
        <v>45891</v>
      </c>
      <c r="E11" s="6" t="s">
        <v>20</v>
      </c>
      <c r="F11" s="7" t="s">
        <v>21</v>
      </c>
      <c r="G11" s="19"/>
      <c r="H11" s="17"/>
      <c r="I11" s="29"/>
      <c r="J11">
        <v>6</v>
      </c>
      <c r="K11" s="37">
        <v>45952</v>
      </c>
      <c r="L11" s="3">
        <f t="shared" ca="1" si="0"/>
        <v>266</v>
      </c>
      <c r="M11" s="3">
        <f t="shared" si="1"/>
        <v>10</v>
      </c>
      <c r="N11" s="3" t="s">
        <v>86</v>
      </c>
      <c r="O11" s="1">
        <v>29.89</v>
      </c>
      <c r="P11" s="69">
        <v>0.33456005</v>
      </c>
      <c r="Q11" s="2">
        <f t="shared" si="2"/>
        <v>9.9999998945000002</v>
      </c>
      <c r="R11" s="38"/>
      <c r="S11">
        <v>10</v>
      </c>
      <c r="T11">
        <v>0.12</v>
      </c>
    </row>
    <row r="12" spans="1:20" x14ac:dyDescent="0.3">
      <c r="A12" s="8" t="s">
        <v>11</v>
      </c>
      <c r="B12" s="13">
        <v>12.83</v>
      </c>
      <c r="C12" s="9"/>
      <c r="D12" s="19" t="s">
        <v>22</v>
      </c>
      <c r="E12" s="17">
        <v>10.19</v>
      </c>
      <c r="F12" s="29"/>
      <c r="G12" s="19"/>
      <c r="H12" s="17"/>
      <c r="I12" s="29"/>
      <c r="J12">
        <v>7</v>
      </c>
      <c r="K12" s="37">
        <v>45954</v>
      </c>
      <c r="L12" s="3">
        <f t="shared" ca="1" si="0"/>
        <v>264</v>
      </c>
      <c r="M12" s="3">
        <f t="shared" si="1"/>
        <v>10</v>
      </c>
      <c r="N12" s="3" t="s">
        <v>91</v>
      </c>
      <c r="O12" s="35">
        <v>17.86</v>
      </c>
      <c r="P12" s="69">
        <v>0.58790593000000002</v>
      </c>
      <c r="Q12" s="82">
        <f t="shared" si="2"/>
        <v>10.4999999098</v>
      </c>
      <c r="R12" s="38"/>
      <c r="S12">
        <v>5000</v>
      </c>
      <c r="T12">
        <f>(S12*T11)/S11</f>
        <v>60</v>
      </c>
    </row>
    <row r="13" spans="1:20" x14ac:dyDescent="0.3">
      <c r="A13" s="8" t="s">
        <v>15</v>
      </c>
      <c r="B13" s="13">
        <v>5.8</v>
      </c>
      <c r="C13" s="9"/>
      <c r="D13" s="19" t="s">
        <v>23</v>
      </c>
      <c r="E13" s="17">
        <v>15.92</v>
      </c>
      <c r="F13" s="29"/>
      <c r="G13" s="19"/>
      <c r="H13" s="17"/>
      <c r="I13" s="29"/>
      <c r="J13">
        <v>8</v>
      </c>
      <c r="K13" s="37">
        <v>45960</v>
      </c>
      <c r="L13" s="3">
        <f t="shared" ca="1" si="0"/>
        <v>258</v>
      </c>
      <c r="M13" s="3">
        <f t="shared" si="1"/>
        <v>10</v>
      </c>
      <c r="N13" s="3" t="s">
        <v>100</v>
      </c>
      <c r="O13" s="1">
        <v>32.729999999999997</v>
      </c>
      <c r="P13" s="69">
        <v>0.32051059999999998</v>
      </c>
      <c r="Q13" s="2">
        <f t="shared" si="2"/>
        <v>10.490311937999998</v>
      </c>
      <c r="R13" s="38"/>
      <c r="S13" s="1">
        <f>S12*20</f>
        <v>100000</v>
      </c>
      <c r="T13" s="1">
        <f>T12*20</f>
        <v>1200</v>
      </c>
    </row>
    <row r="14" spans="1:20" x14ac:dyDescent="0.3">
      <c r="A14" s="8" t="s">
        <v>1</v>
      </c>
      <c r="B14" s="13">
        <v>5.6</v>
      </c>
      <c r="C14" s="9"/>
      <c r="D14" s="19" t="s">
        <v>24</v>
      </c>
      <c r="E14" s="17">
        <v>9.65</v>
      </c>
      <c r="F14" s="29"/>
      <c r="G14" s="19"/>
      <c r="H14" s="17"/>
      <c r="I14" s="29"/>
      <c r="J14">
        <v>9</v>
      </c>
      <c r="K14" s="37">
        <v>45971</v>
      </c>
      <c r="L14" s="3">
        <f t="shared" ref="L14:L25" ca="1" si="3">$K$35-K14</f>
        <v>247</v>
      </c>
      <c r="M14" s="3">
        <f t="shared" si="1"/>
        <v>11</v>
      </c>
      <c r="N14" s="3" t="s">
        <v>99</v>
      </c>
      <c r="O14" s="1">
        <v>31.33</v>
      </c>
      <c r="P14" s="69">
        <v>0.35110118000000001</v>
      </c>
      <c r="Q14" s="2">
        <f t="shared" si="2"/>
        <v>10.999999969399999</v>
      </c>
      <c r="R14" s="38"/>
    </row>
    <row r="15" spans="1:20" x14ac:dyDescent="0.3">
      <c r="A15" s="8" t="s">
        <v>0</v>
      </c>
      <c r="B15" s="13">
        <v>3.86</v>
      </c>
      <c r="C15" s="9"/>
      <c r="D15" s="30" t="s">
        <v>25</v>
      </c>
      <c r="E15" s="26">
        <v>5.0599999999999996</v>
      </c>
      <c r="F15" s="25">
        <f>E15*1.2^10</f>
        <v>31.330186297343992</v>
      </c>
      <c r="G15" s="19"/>
      <c r="H15" s="17"/>
      <c r="I15" s="29"/>
      <c r="J15">
        <v>10</v>
      </c>
      <c r="K15" s="37">
        <v>45971</v>
      </c>
      <c r="L15" s="3">
        <f t="shared" ca="1" si="3"/>
        <v>247</v>
      </c>
      <c r="M15" s="3">
        <f t="shared" si="1"/>
        <v>11</v>
      </c>
      <c r="N15" s="3" t="s">
        <v>103</v>
      </c>
      <c r="O15" s="1">
        <v>66.540000000000006</v>
      </c>
      <c r="P15" s="69">
        <v>0.16531409</v>
      </c>
      <c r="Q15" s="2">
        <f t="shared" si="2"/>
        <v>10.9999995486</v>
      </c>
      <c r="R15" s="38"/>
    </row>
    <row r="16" spans="1:20" x14ac:dyDescent="0.3">
      <c r="A16" s="8" t="s">
        <v>9</v>
      </c>
      <c r="B16" s="13">
        <v>2.96</v>
      </c>
      <c r="C16" s="9"/>
      <c r="D16" s="19"/>
      <c r="F16" s="18"/>
      <c r="G16" s="16"/>
      <c r="H16" s="17"/>
      <c r="I16" s="29"/>
      <c r="J16">
        <v>11</v>
      </c>
      <c r="K16" s="37">
        <v>45986</v>
      </c>
      <c r="L16" s="3">
        <f t="shared" ca="1" si="3"/>
        <v>232</v>
      </c>
      <c r="M16" s="3">
        <f t="shared" si="1"/>
        <v>11</v>
      </c>
      <c r="N16" s="91" t="s">
        <v>56</v>
      </c>
      <c r="O16" s="1">
        <v>480.23</v>
      </c>
      <c r="P16" s="69">
        <v>2.2905689999999999E-2</v>
      </c>
      <c r="Q16" s="2">
        <f t="shared" ref="Q16:Q25" si="4">O16*P16</f>
        <v>10.9999995087</v>
      </c>
      <c r="R16" s="38"/>
    </row>
    <row r="17" spans="1:25" x14ac:dyDescent="0.3">
      <c r="A17" s="8" t="s">
        <v>7</v>
      </c>
      <c r="B17" s="13">
        <v>14.12</v>
      </c>
      <c r="C17" s="9"/>
      <c r="D17" s="19"/>
      <c r="F17" s="18"/>
      <c r="G17" s="19"/>
      <c r="H17" s="17"/>
      <c r="I17" s="29"/>
      <c r="J17">
        <v>12</v>
      </c>
      <c r="K17" s="37">
        <v>45987</v>
      </c>
      <c r="L17" s="3">
        <f t="shared" ca="1" si="3"/>
        <v>231</v>
      </c>
      <c r="M17" s="3">
        <f t="shared" si="1"/>
        <v>11</v>
      </c>
      <c r="N17" s="3" t="s">
        <v>113</v>
      </c>
      <c r="O17" s="1">
        <v>4.37</v>
      </c>
      <c r="P17" s="69">
        <v>2.4118993099999999</v>
      </c>
      <c r="Q17" s="2">
        <f t="shared" si="4"/>
        <v>10.5399999847</v>
      </c>
      <c r="R17" s="38"/>
      <c r="X17" s="1"/>
      <c r="Y17" s="2"/>
    </row>
    <row r="18" spans="1:25" x14ac:dyDescent="0.3">
      <c r="A18" s="8" t="s">
        <v>13</v>
      </c>
      <c r="B18" s="13">
        <v>11.11</v>
      </c>
      <c r="C18" s="9"/>
      <c r="D18" s="19"/>
      <c r="F18" s="18"/>
      <c r="G18" s="19"/>
      <c r="H18" s="17"/>
      <c r="I18" s="29"/>
      <c r="J18">
        <v>13</v>
      </c>
      <c r="K18" s="37">
        <v>45987</v>
      </c>
      <c r="L18" s="3">
        <f t="shared" ca="1" si="3"/>
        <v>231</v>
      </c>
      <c r="M18" s="3">
        <f t="shared" si="1"/>
        <v>11</v>
      </c>
      <c r="N18" s="3" t="s">
        <v>41</v>
      </c>
      <c r="O18" s="1">
        <v>13.93</v>
      </c>
      <c r="P18" s="69">
        <v>0.78966259000000005</v>
      </c>
      <c r="Q18" s="2">
        <f t="shared" si="4"/>
        <v>10.999999878700001</v>
      </c>
      <c r="R18" s="38"/>
    </row>
    <row r="19" spans="1:25" x14ac:dyDescent="0.3">
      <c r="A19" s="8"/>
      <c r="B19" s="13"/>
      <c r="C19" s="9"/>
      <c r="D19" s="19"/>
      <c r="F19" s="18"/>
      <c r="G19" s="19"/>
      <c r="H19" s="17"/>
      <c r="I19" s="29"/>
      <c r="J19">
        <v>14</v>
      </c>
      <c r="K19" s="37">
        <v>45987</v>
      </c>
      <c r="L19" s="3">
        <f t="shared" ca="1" si="3"/>
        <v>231</v>
      </c>
      <c r="M19" s="3">
        <f t="shared" si="1"/>
        <v>11</v>
      </c>
      <c r="N19" s="91" t="s">
        <v>115</v>
      </c>
      <c r="O19" s="1">
        <v>40.92</v>
      </c>
      <c r="P19" s="69">
        <v>0.26881719999999998</v>
      </c>
      <c r="Q19" s="2">
        <f t="shared" si="4"/>
        <v>10.999999824</v>
      </c>
      <c r="R19" s="2"/>
      <c r="S19" s="38"/>
      <c r="T19" s="2"/>
    </row>
    <row r="20" spans="1:25" x14ac:dyDescent="0.3">
      <c r="A20" s="10" t="s">
        <v>6</v>
      </c>
      <c r="B20" s="14">
        <v>14.19</v>
      </c>
      <c r="C20" s="2">
        <f>B20*1.2^10</f>
        <v>87.860739833855988</v>
      </c>
      <c r="D20" s="19"/>
      <c r="F20" s="18"/>
      <c r="G20" s="19"/>
      <c r="H20" s="17"/>
      <c r="I20" s="29"/>
      <c r="J20">
        <v>15</v>
      </c>
      <c r="K20" s="37">
        <v>45988</v>
      </c>
      <c r="L20" s="3">
        <f t="shared" ca="1" si="3"/>
        <v>230</v>
      </c>
      <c r="M20" s="3">
        <f t="shared" ref="M20:M25" si="5">MONTH(K20)</f>
        <v>11</v>
      </c>
      <c r="N20" s="91" t="s">
        <v>120</v>
      </c>
      <c r="O20" s="1">
        <v>409.42</v>
      </c>
      <c r="P20" s="69">
        <v>2.6867269999999999E-2</v>
      </c>
      <c r="Q20" s="2">
        <f t="shared" si="4"/>
        <v>10.9999976834</v>
      </c>
      <c r="R20" s="2"/>
      <c r="S20" s="38"/>
      <c r="T20" s="2"/>
    </row>
    <row r="21" spans="1:25" ht="15" thickBot="1" x14ac:dyDescent="0.35">
      <c r="A21" s="11" t="s">
        <v>10</v>
      </c>
      <c r="B21" s="15">
        <v>30.02</v>
      </c>
      <c r="C21" s="12"/>
      <c r="D21" s="20"/>
      <c r="E21" s="21"/>
      <c r="F21" s="22"/>
      <c r="G21" s="20"/>
      <c r="H21" s="31"/>
      <c r="I21" s="32"/>
      <c r="J21">
        <v>16</v>
      </c>
      <c r="K21" s="37">
        <v>45988</v>
      </c>
      <c r="L21" s="3">
        <f t="shared" ca="1" si="3"/>
        <v>230</v>
      </c>
      <c r="M21" s="3">
        <f t="shared" si="5"/>
        <v>11</v>
      </c>
      <c r="N21" s="91" t="s">
        <v>96</v>
      </c>
      <c r="O21" s="1">
        <v>25.7</v>
      </c>
      <c r="P21" s="69">
        <v>0.42801556000000002</v>
      </c>
      <c r="Q21" s="2">
        <f t="shared" si="4"/>
        <v>10.999999892</v>
      </c>
      <c r="R21" s="2"/>
      <c r="S21" s="38"/>
      <c r="T21" s="2"/>
    </row>
    <row r="22" spans="1:25" x14ac:dyDescent="0.3">
      <c r="B22" s="3" t="s">
        <v>26</v>
      </c>
      <c r="C22" t="s">
        <v>27</v>
      </c>
      <c r="E22" s="3" t="s">
        <v>28</v>
      </c>
      <c r="F22" t="s">
        <v>27</v>
      </c>
      <c r="G22" s="60">
        <v>0.1</v>
      </c>
      <c r="J22">
        <v>17</v>
      </c>
      <c r="K22" s="37">
        <v>45992</v>
      </c>
      <c r="L22" s="3">
        <f t="shared" ca="1" si="3"/>
        <v>226</v>
      </c>
      <c r="M22" s="3">
        <f t="shared" si="5"/>
        <v>12</v>
      </c>
      <c r="N22" s="82" t="s">
        <v>121</v>
      </c>
      <c r="O22" s="1">
        <v>108.7</v>
      </c>
      <c r="P22" s="69">
        <v>0.11039557999999999</v>
      </c>
      <c r="Q22" s="2">
        <f t="shared" si="4"/>
        <v>11.999999546</v>
      </c>
      <c r="R22" s="2"/>
      <c r="S22" s="38"/>
      <c r="T22" s="2"/>
    </row>
    <row r="23" spans="1:25" x14ac:dyDescent="0.3">
      <c r="B23" s="3"/>
      <c r="E23" s="3"/>
      <c r="G23" s="60"/>
      <c r="J23">
        <v>18</v>
      </c>
      <c r="K23" s="37">
        <v>45993</v>
      </c>
      <c r="L23" s="3">
        <f t="shared" ca="1" si="3"/>
        <v>225</v>
      </c>
      <c r="M23" s="3">
        <f t="shared" si="5"/>
        <v>12</v>
      </c>
      <c r="N23" s="91" t="s">
        <v>53</v>
      </c>
      <c r="O23" s="1">
        <v>150.25</v>
      </c>
      <c r="P23" s="69">
        <v>7.9866880000000001E-2</v>
      </c>
      <c r="Q23" s="2">
        <f t="shared" si="4"/>
        <v>11.999998720000001</v>
      </c>
      <c r="R23" s="2"/>
      <c r="S23" s="38"/>
      <c r="T23" s="2"/>
    </row>
    <row r="24" spans="1:25" x14ac:dyDescent="0.3">
      <c r="B24" s="3"/>
      <c r="E24" s="3"/>
      <c r="G24" s="60"/>
      <c r="J24">
        <v>19</v>
      </c>
      <c r="K24" s="37">
        <v>45993</v>
      </c>
      <c r="L24" s="3">
        <f t="shared" ca="1" si="3"/>
        <v>225</v>
      </c>
      <c r="M24" s="3">
        <f t="shared" si="5"/>
        <v>12</v>
      </c>
      <c r="N24" s="91" t="s">
        <v>54</v>
      </c>
      <c r="O24" s="1">
        <v>148.96</v>
      </c>
      <c r="P24" s="69">
        <v>7.3845320000000006E-2</v>
      </c>
      <c r="Q24" s="2">
        <f t="shared" si="4"/>
        <v>10.999998867200002</v>
      </c>
      <c r="R24" s="2"/>
      <c r="S24" s="38"/>
      <c r="T24" s="2"/>
    </row>
    <row r="25" spans="1:25" x14ac:dyDescent="0.3">
      <c r="B25" s="3"/>
      <c r="E25" s="3"/>
      <c r="G25" s="60"/>
      <c r="J25">
        <v>20</v>
      </c>
      <c r="K25" s="37">
        <v>45995</v>
      </c>
      <c r="L25" s="3">
        <f t="shared" ca="1" si="3"/>
        <v>223</v>
      </c>
      <c r="M25" s="3">
        <f t="shared" si="5"/>
        <v>12</v>
      </c>
      <c r="N25" s="91" t="s">
        <v>58</v>
      </c>
      <c r="O25" s="1">
        <v>25.55</v>
      </c>
      <c r="P25" s="69">
        <v>0.46966731</v>
      </c>
      <c r="Q25" s="2">
        <f t="shared" si="4"/>
        <v>11.999999770500001</v>
      </c>
      <c r="R25" s="2"/>
      <c r="S25" s="38"/>
      <c r="T25" s="2"/>
    </row>
    <row r="26" spans="1:25" x14ac:dyDescent="0.3">
      <c r="B26" s="3"/>
      <c r="E26" s="3"/>
      <c r="G26" s="60"/>
      <c r="J26">
        <v>21</v>
      </c>
      <c r="K26" s="37">
        <v>45996</v>
      </c>
      <c r="L26" s="3">
        <f t="shared" ref="L26:L31" ca="1" si="6">$K$35-K26</f>
        <v>222</v>
      </c>
      <c r="M26" s="3">
        <f t="shared" ref="M26:M31" si="7">MONTH(K26)</f>
        <v>12</v>
      </c>
      <c r="N26" s="91" t="s">
        <v>125</v>
      </c>
      <c r="O26" s="1">
        <v>21.67</v>
      </c>
      <c r="P26" s="69">
        <v>0.55376095000000003</v>
      </c>
      <c r="Q26" s="2">
        <f t="shared" ref="Q26:Q31" si="8">O26*P26</f>
        <v>11.999999786500002</v>
      </c>
      <c r="R26" s="2"/>
      <c r="S26" s="38"/>
      <c r="T26" s="2"/>
    </row>
    <row r="27" spans="1:25" x14ac:dyDescent="0.3">
      <c r="B27" s="3"/>
      <c r="E27" s="3"/>
      <c r="G27" s="60"/>
      <c r="J27">
        <v>22</v>
      </c>
      <c r="K27" s="37">
        <v>45998</v>
      </c>
      <c r="L27" s="3">
        <f t="shared" ca="1" si="6"/>
        <v>220</v>
      </c>
      <c r="M27" s="3">
        <f t="shared" si="7"/>
        <v>12</v>
      </c>
      <c r="N27" s="91" t="s">
        <v>82</v>
      </c>
      <c r="O27" s="1">
        <v>17.91</v>
      </c>
      <c r="P27" s="69">
        <v>0.67001675000000005</v>
      </c>
      <c r="Q27" s="2">
        <f t="shared" si="8"/>
        <v>11.999999992500001</v>
      </c>
      <c r="R27" s="2"/>
      <c r="S27" s="38"/>
      <c r="T27" s="2"/>
    </row>
    <row r="28" spans="1:25" x14ac:dyDescent="0.3">
      <c r="B28" s="3"/>
      <c r="E28" s="3"/>
      <c r="G28" s="60"/>
      <c r="J28">
        <v>23</v>
      </c>
      <c r="K28" s="37">
        <v>46001</v>
      </c>
      <c r="L28" s="3">
        <f t="shared" ca="1" si="6"/>
        <v>217</v>
      </c>
      <c r="M28" s="3">
        <f t="shared" si="7"/>
        <v>12</v>
      </c>
      <c r="N28" s="91" t="s">
        <v>126</v>
      </c>
      <c r="O28" s="1">
        <v>56.84</v>
      </c>
      <c r="P28" s="69">
        <v>0.21111893000000001</v>
      </c>
      <c r="Q28" s="2">
        <f t="shared" si="8"/>
        <v>11.999999981200002</v>
      </c>
      <c r="R28" s="2"/>
      <c r="S28" s="38"/>
      <c r="T28" s="2"/>
    </row>
    <row r="29" spans="1:25" x14ac:dyDescent="0.3">
      <c r="B29" s="3"/>
      <c r="E29" s="3"/>
      <c r="G29" s="60"/>
      <c r="J29">
        <v>24</v>
      </c>
      <c r="K29" s="37">
        <v>46008</v>
      </c>
      <c r="L29" s="3">
        <f t="shared" ca="1" si="6"/>
        <v>210</v>
      </c>
      <c r="M29" s="3">
        <f t="shared" si="7"/>
        <v>12</v>
      </c>
      <c r="N29" s="3" t="s">
        <v>127</v>
      </c>
      <c r="O29" s="1">
        <v>12.02</v>
      </c>
      <c r="P29" s="69">
        <v>0.99833609999999995</v>
      </c>
      <c r="Q29" s="2">
        <f t="shared" si="8"/>
        <v>11.999999921999999</v>
      </c>
      <c r="R29" s="2"/>
      <c r="S29" s="38"/>
      <c r="T29" s="2"/>
    </row>
    <row r="30" spans="1:25" x14ac:dyDescent="0.3">
      <c r="B30" s="3"/>
      <c r="E30" s="3"/>
      <c r="G30" s="60"/>
      <c r="J30">
        <v>25</v>
      </c>
      <c r="K30" s="24">
        <v>46013</v>
      </c>
      <c r="L30" s="3">
        <f t="shared" ca="1" si="6"/>
        <v>205</v>
      </c>
      <c r="M30" s="3">
        <f t="shared" si="7"/>
        <v>12</v>
      </c>
      <c r="N30" s="91" t="s">
        <v>88</v>
      </c>
      <c r="O30" s="1">
        <v>8.02</v>
      </c>
      <c r="P30" s="69">
        <v>1.4962593500000001</v>
      </c>
      <c r="Q30" s="2">
        <f t="shared" si="8"/>
        <v>11.999999987000001</v>
      </c>
      <c r="R30" s="2"/>
      <c r="S30" s="38"/>
      <c r="T30" s="2"/>
    </row>
    <row r="31" spans="1:25" x14ac:dyDescent="0.3">
      <c r="B31" s="3"/>
      <c r="E31" s="3"/>
      <c r="G31" s="60"/>
      <c r="J31">
        <v>26</v>
      </c>
      <c r="K31" s="24">
        <v>46045</v>
      </c>
      <c r="L31" s="3">
        <f t="shared" ca="1" si="6"/>
        <v>173</v>
      </c>
      <c r="M31" s="3">
        <f t="shared" si="7"/>
        <v>1</v>
      </c>
      <c r="N31" s="91" t="s">
        <v>63</v>
      </c>
      <c r="O31" s="1">
        <v>31.5</v>
      </c>
      <c r="P31" s="69">
        <v>0.39</v>
      </c>
      <c r="Q31" s="2">
        <f t="shared" si="8"/>
        <v>12.285</v>
      </c>
      <c r="R31" s="2"/>
      <c r="S31" s="38"/>
      <c r="T31" s="2"/>
    </row>
    <row r="32" spans="1:25" x14ac:dyDescent="0.3">
      <c r="O32" s="2"/>
      <c r="R32">
        <v>307.43</v>
      </c>
      <c r="S32" s="94">
        <v>1</v>
      </c>
      <c r="T32" s="4"/>
    </row>
    <row r="33" spans="2:24" ht="15" thickBot="1" x14ac:dyDescent="0.35">
      <c r="K33" s="3" t="s">
        <v>44</v>
      </c>
      <c r="L33" s="3" t="s">
        <v>124</v>
      </c>
      <c r="M33" s="3" t="s">
        <v>46</v>
      </c>
      <c r="N33" s="3" t="s">
        <v>123</v>
      </c>
      <c r="O33" s="3" t="s">
        <v>68</v>
      </c>
      <c r="R33">
        <v>10</v>
      </c>
      <c r="S33" s="95">
        <f>((R33*S32)/R32)-1</f>
        <v>-0.96747227011026904</v>
      </c>
      <c r="T33" s="3"/>
    </row>
    <row r="34" spans="2:24" ht="15" thickBot="1" x14ac:dyDescent="0.35">
      <c r="J34" s="42" t="s">
        <v>45</v>
      </c>
      <c r="K34" s="59">
        <f>63.02+53.12+80.23+111.06</f>
        <v>307.43</v>
      </c>
      <c r="L34" s="45">
        <f>S84</f>
        <v>18.931096344740013</v>
      </c>
      <c r="M34" s="46">
        <f>L34/K34</f>
        <v>6.157855884181769E-2</v>
      </c>
      <c r="N34" s="59">
        <v>0.91</v>
      </c>
      <c r="O34" s="59">
        <f>K34+L34+N34</f>
        <v>327.27109634474004</v>
      </c>
      <c r="P34" s="4"/>
      <c r="S34" s="35"/>
      <c r="T34" s="35"/>
    </row>
    <row r="35" spans="2:24" ht="15" thickBot="1" x14ac:dyDescent="0.35">
      <c r="J35" s="39" t="s">
        <v>102</v>
      </c>
      <c r="K35" s="44">
        <f ca="1">TODAY()</f>
        <v>46218</v>
      </c>
      <c r="L35" s="12"/>
      <c r="M35" s="21"/>
      <c r="N35" s="21"/>
      <c r="O35" s="21"/>
      <c r="P35" s="21"/>
      <c r="Q35" s="21"/>
      <c r="R35" s="21"/>
      <c r="S35" s="21"/>
    </row>
    <row r="36" spans="2:24" x14ac:dyDescent="0.3">
      <c r="J36" s="23"/>
      <c r="K36" s="41"/>
      <c r="L36" s="3"/>
    </row>
    <row r="37" spans="2:24" x14ac:dyDescent="0.3">
      <c r="J37" s="23"/>
      <c r="K37" s="41"/>
      <c r="L37" s="3"/>
    </row>
    <row r="38" spans="2:24" x14ac:dyDescent="0.3">
      <c r="B38" s="3">
        <v>0</v>
      </c>
      <c r="C38" s="2">
        <v>12.4</v>
      </c>
      <c r="E38" s="3">
        <v>0</v>
      </c>
      <c r="F38" s="1">
        <v>16.66</v>
      </c>
      <c r="G38" s="1">
        <f>F38*1.1</f>
        <v>18.326000000000001</v>
      </c>
      <c r="J38" t="s">
        <v>37</v>
      </c>
      <c r="K38" s="3" t="s">
        <v>38</v>
      </c>
      <c r="L38" s="35" t="s">
        <v>43</v>
      </c>
      <c r="M38" s="3" t="s">
        <v>30</v>
      </c>
      <c r="N38" s="3" t="s">
        <v>34</v>
      </c>
      <c r="O38" s="3" t="s">
        <v>35</v>
      </c>
      <c r="P38" s="3" t="s">
        <v>66</v>
      </c>
      <c r="Q38" s="3" t="s">
        <v>65</v>
      </c>
      <c r="R38" s="3" t="s">
        <v>67</v>
      </c>
      <c r="S38" s="3" t="s">
        <v>36</v>
      </c>
      <c r="T38" s="3" t="s">
        <v>48</v>
      </c>
      <c r="U38" s="3" t="s">
        <v>123</v>
      </c>
    </row>
    <row r="39" spans="2:24" x14ac:dyDescent="0.3">
      <c r="B39" s="3">
        <v>1</v>
      </c>
      <c r="C39" s="25">
        <f t="shared" ref="C39:C48" si="9">$C$38*1.2^B39</f>
        <v>14.879999999999999</v>
      </c>
      <c r="E39" s="3">
        <v>1</v>
      </c>
      <c r="F39" s="25">
        <f t="shared" ref="F39:F50" si="10">$F$38*1.016^E39</f>
        <v>16.926560000000002</v>
      </c>
      <c r="G39" s="1"/>
      <c r="I39">
        <v>1</v>
      </c>
      <c r="J39" s="37">
        <v>45882</v>
      </c>
      <c r="K39" s="37">
        <v>45895</v>
      </c>
      <c r="L39" s="3">
        <f t="shared" ref="L39:L81" si="11">K39-J39</f>
        <v>13</v>
      </c>
      <c r="M39" s="3" t="s">
        <v>6</v>
      </c>
      <c r="N39" s="58">
        <v>14.19</v>
      </c>
      <c r="O39" s="35">
        <v>15.07</v>
      </c>
      <c r="P39" s="3">
        <v>0.99577167</v>
      </c>
      <c r="Q39" s="1">
        <f t="shared" ref="Q39:Q46" si="12">N39*P39</f>
        <v>14.129999997299999</v>
      </c>
      <c r="R39" s="35">
        <f>P39*O39</f>
        <v>15.006279066899999</v>
      </c>
      <c r="S39" s="35">
        <f t="shared" ref="S39:S57" si="13">(O39*P39)-Q39</f>
        <v>0.87627906960000068</v>
      </c>
      <c r="T39" s="56">
        <f t="shared" ref="T39:T56" si="14">(O39-N39)/N39</f>
        <v>6.2015503875969047E-2</v>
      </c>
    </row>
    <row r="40" spans="2:24" x14ac:dyDescent="0.3">
      <c r="B40" s="3">
        <v>2</v>
      </c>
      <c r="C40" s="25">
        <f t="shared" si="9"/>
        <v>17.855999999999998</v>
      </c>
      <c r="E40" s="3">
        <v>2</v>
      </c>
      <c r="F40" s="25">
        <f t="shared" si="10"/>
        <v>17.197384960000001</v>
      </c>
      <c r="G40" s="1"/>
      <c r="I40">
        <v>2</v>
      </c>
      <c r="J40" s="37">
        <v>45884</v>
      </c>
      <c r="K40" s="37">
        <v>45897</v>
      </c>
      <c r="L40" s="3">
        <f t="shared" si="11"/>
        <v>13</v>
      </c>
      <c r="M40" s="3" t="s">
        <v>5</v>
      </c>
      <c r="N40" s="1">
        <v>14.57</v>
      </c>
      <c r="O40" s="35">
        <v>15.24</v>
      </c>
      <c r="P40" s="3">
        <v>0.99519559999999996</v>
      </c>
      <c r="Q40" s="1">
        <f t="shared" si="12"/>
        <v>14.499999892</v>
      </c>
      <c r="R40" s="35">
        <f t="shared" ref="R40:R48" si="15">P40*O40</f>
        <v>15.166780943999999</v>
      </c>
      <c r="S40" s="35">
        <f t="shared" si="13"/>
        <v>0.66678105199999926</v>
      </c>
      <c r="T40" s="56">
        <f t="shared" si="14"/>
        <v>4.5984900480439253E-2</v>
      </c>
    </row>
    <row r="41" spans="2:24" x14ac:dyDescent="0.3">
      <c r="B41" s="3">
        <v>3</v>
      </c>
      <c r="C41" s="25">
        <f t="shared" si="9"/>
        <v>21.427199999999999</v>
      </c>
      <c r="E41" s="3">
        <v>3</v>
      </c>
      <c r="F41" s="33">
        <f t="shared" si="10"/>
        <v>17.472543119360001</v>
      </c>
      <c r="G41" s="1"/>
      <c r="I41">
        <v>3</v>
      </c>
      <c r="J41" s="37">
        <v>45885</v>
      </c>
      <c r="K41" s="37">
        <v>45895</v>
      </c>
      <c r="L41" s="3">
        <f t="shared" si="11"/>
        <v>10</v>
      </c>
      <c r="M41" s="3" t="s">
        <v>29</v>
      </c>
      <c r="N41" s="58">
        <v>12.396000000000001</v>
      </c>
      <c r="O41" s="35">
        <v>14.034000000000001</v>
      </c>
      <c r="P41" s="3">
        <v>0.95505552999999999</v>
      </c>
      <c r="Q41" s="1">
        <f t="shared" si="12"/>
        <v>11.83886834988</v>
      </c>
      <c r="R41" s="35">
        <f t="shared" si="15"/>
        <v>13.403249308020001</v>
      </c>
      <c r="S41" s="35">
        <f t="shared" si="13"/>
        <v>1.564380958140001</v>
      </c>
      <c r="T41" s="56">
        <f t="shared" si="14"/>
        <v>0.13213939980638914</v>
      </c>
    </row>
    <row r="42" spans="2:24" x14ac:dyDescent="0.3">
      <c r="B42" s="3">
        <v>4</v>
      </c>
      <c r="C42" s="25">
        <f t="shared" si="9"/>
        <v>25.71264</v>
      </c>
      <c r="E42" s="3">
        <v>4</v>
      </c>
      <c r="F42" s="25">
        <f t="shared" si="10"/>
        <v>17.752103809269762</v>
      </c>
      <c r="G42" s="1"/>
      <c r="I42">
        <v>4</v>
      </c>
      <c r="J42" s="37">
        <v>45889</v>
      </c>
      <c r="K42" s="37">
        <v>45896</v>
      </c>
      <c r="L42" s="3">
        <f t="shared" si="11"/>
        <v>7</v>
      </c>
      <c r="M42" s="36" t="s">
        <v>4</v>
      </c>
      <c r="N42" s="35">
        <v>2.7</v>
      </c>
      <c r="O42" s="35">
        <v>2.67</v>
      </c>
      <c r="P42" s="3">
        <v>1</v>
      </c>
      <c r="Q42" s="1">
        <f t="shared" si="12"/>
        <v>2.7</v>
      </c>
      <c r="R42" s="35">
        <f t="shared" si="15"/>
        <v>2.67</v>
      </c>
      <c r="S42" s="35">
        <f t="shared" si="13"/>
        <v>-3.0000000000000249E-2</v>
      </c>
      <c r="T42" s="56">
        <f t="shared" si="14"/>
        <v>-1.1111111111111202E-2</v>
      </c>
    </row>
    <row r="43" spans="2:24" x14ac:dyDescent="0.3">
      <c r="B43" s="3">
        <v>5</v>
      </c>
      <c r="C43" s="25">
        <f t="shared" si="9"/>
        <v>30.855167999999999</v>
      </c>
      <c r="E43" s="3">
        <v>5</v>
      </c>
      <c r="F43" s="25">
        <f t="shared" si="10"/>
        <v>18.036137470218076</v>
      </c>
      <c r="G43" s="1"/>
      <c r="I43">
        <v>5</v>
      </c>
      <c r="J43" s="37">
        <v>45902</v>
      </c>
      <c r="K43" s="37">
        <v>45903</v>
      </c>
      <c r="L43" s="3">
        <f t="shared" si="11"/>
        <v>1</v>
      </c>
      <c r="M43" s="3" t="s">
        <v>47</v>
      </c>
      <c r="N43" s="1">
        <v>9.2799999999999994</v>
      </c>
      <c r="O43" s="35">
        <v>9.85</v>
      </c>
      <c r="P43" s="3">
        <v>0.85129310000000002</v>
      </c>
      <c r="Q43" s="1">
        <f t="shared" si="12"/>
        <v>7.8999999679999995</v>
      </c>
      <c r="R43" s="35">
        <f t="shared" si="15"/>
        <v>8.3852370349999994</v>
      </c>
      <c r="S43" s="35">
        <f t="shared" si="13"/>
        <v>0.48523706699999991</v>
      </c>
      <c r="T43" s="56">
        <f t="shared" si="14"/>
        <v>6.1422413793103481E-2</v>
      </c>
    </row>
    <row r="44" spans="2:24" x14ac:dyDescent="0.3">
      <c r="B44" s="3">
        <v>6</v>
      </c>
      <c r="C44" s="25">
        <f t="shared" si="9"/>
        <v>37.0262016</v>
      </c>
      <c r="E44" s="3">
        <v>6</v>
      </c>
      <c r="F44" s="25">
        <f t="shared" si="10"/>
        <v>18.324715669741565</v>
      </c>
      <c r="G44" s="1"/>
      <c r="I44">
        <v>6</v>
      </c>
      <c r="J44" s="37">
        <v>45915</v>
      </c>
      <c r="K44" s="37">
        <v>45917</v>
      </c>
      <c r="L44" s="3">
        <f t="shared" si="11"/>
        <v>2</v>
      </c>
      <c r="M44" s="3" t="s">
        <v>59</v>
      </c>
      <c r="N44" s="1">
        <v>10.220000000000001</v>
      </c>
      <c r="O44" s="35">
        <v>11.38</v>
      </c>
      <c r="P44" s="3">
        <v>0.12126537</v>
      </c>
      <c r="Q44" s="1">
        <f t="shared" si="12"/>
        <v>1.2393320814</v>
      </c>
      <c r="R44" s="35">
        <f t="shared" si="15"/>
        <v>1.3799999106</v>
      </c>
      <c r="S44" s="35">
        <f t="shared" si="13"/>
        <v>0.14066782920000009</v>
      </c>
      <c r="T44" s="56">
        <f t="shared" si="14"/>
        <v>0.11350293542074365</v>
      </c>
    </row>
    <row r="45" spans="2:24" x14ac:dyDescent="0.3">
      <c r="B45" s="3">
        <v>7</v>
      </c>
      <c r="C45" s="25">
        <f t="shared" si="9"/>
        <v>44.431441919999997</v>
      </c>
      <c r="E45" s="3">
        <v>7</v>
      </c>
      <c r="F45" s="25">
        <f t="shared" si="10"/>
        <v>18.617911120457432</v>
      </c>
      <c r="G45" s="1"/>
      <c r="I45">
        <v>7</v>
      </c>
      <c r="J45" s="37">
        <v>45915</v>
      </c>
      <c r="K45" s="37">
        <v>45917</v>
      </c>
      <c r="L45" s="3">
        <f t="shared" si="11"/>
        <v>2</v>
      </c>
      <c r="M45" s="3" t="s">
        <v>52</v>
      </c>
      <c r="N45" s="1">
        <v>30.29</v>
      </c>
      <c r="O45" s="35">
        <v>31.96</v>
      </c>
      <c r="P45" s="3">
        <v>3.1289110000000002E-2</v>
      </c>
      <c r="Q45" s="1">
        <f t="shared" si="12"/>
        <v>0.94774714189999998</v>
      </c>
      <c r="R45" s="35">
        <f t="shared" si="15"/>
        <v>0.9999999556000001</v>
      </c>
      <c r="S45" s="35">
        <f t="shared" si="13"/>
        <v>5.2252813700000122E-2</v>
      </c>
      <c r="T45" s="56">
        <f t="shared" si="14"/>
        <v>5.5133707494222577E-2</v>
      </c>
    </row>
    <row r="46" spans="2:24" x14ac:dyDescent="0.3">
      <c r="B46" s="3">
        <v>8</v>
      </c>
      <c r="C46" s="25">
        <f t="shared" si="9"/>
        <v>53.317730303999994</v>
      </c>
      <c r="E46" s="3">
        <v>8</v>
      </c>
      <c r="F46" s="25">
        <f t="shared" si="10"/>
        <v>18.91579769838475</v>
      </c>
      <c r="G46" s="1"/>
      <c r="I46">
        <v>8</v>
      </c>
      <c r="J46" s="37">
        <v>45915</v>
      </c>
      <c r="K46" s="37">
        <v>45918</v>
      </c>
      <c r="L46" s="3">
        <f t="shared" si="11"/>
        <v>3</v>
      </c>
      <c r="M46" s="37" t="s">
        <v>59</v>
      </c>
      <c r="N46" s="35">
        <v>10.220000000000001</v>
      </c>
      <c r="O46" s="1">
        <v>12.9</v>
      </c>
      <c r="P46" s="3">
        <v>7.7519370000000004E-2</v>
      </c>
      <c r="Q46" s="35">
        <f t="shared" si="12"/>
        <v>0.79224796140000009</v>
      </c>
      <c r="R46" s="35">
        <f t="shared" si="15"/>
        <v>0.99999987300000004</v>
      </c>
      <c r="S46" s="35">
        <f t="shared" si="13"/>
        <v>0.20775191159999995</v>
      </c>
      <c r="T46" s="56">
        <f t="shared" si="14"/>
        <v>0.26223091976516627</v>
      </c>
    </row>
    <row r="47" spans="2:24" x14ac:dyDescent="0.3">
      <c r="B47" s="3">
        <v>9</v>
      </c>
      <c r="C47" s="25">
        <f t="shared" si="9"/>
        <v>63.981276364799996</v>
      </c>
      <c r="E47" s="3">
        <v>9</v>
      </c>
      <c r="F47" s="25">
        <f t="shared" si="10"/>
        <v>19.218450461558909</v>
      </c>
      <c r="G47" s="1"/>
      <c r="I47">
        <v>9</v>
      </c>
      <c r="J47" s="37">
        <v>45915</v>
      </c>
      <c r="K47" s="37">
        <v>45919</v>
      </c>
      <c r="L47" s="3">
        <f t="shared" si="11"/>
        <v>4</v>
      </c>
      <c r="M47" s="3" t="s">
        <v>61</v>
      </c>
      <c r="N47" s="1">
        <v>11.44</v>
      </c>
      <c r="O47" s="1">
        <v>11.98</v>
      </c>
      <c r="P47" s="3">
        <v>0.87412586999999997</v>
      </c>
      <c r="Q47" s="35">
        <f t="shared" ref="Q47:Q57" si="16">N47*P47</f>
        <v>9.9999999527999996</v>
      </c>
      <c r="R47" s="35">
        <f t="shared" si="15"/>
        <v>10.472027922600001</v>
      </c>
      <c r="S47" s="35">
        <f t="shared" si="13"/>
        <v>0.47202796980000095</v>
      </c>
      <c r="T47" s="56">
        <f t="shared" si="14"/>
        <v>4.7202797202797284E-2</v>
      </c>
    </row>
    <row r="48" spans="2:24" x14ac:dyDescent="0.3">
      <c r="B48" s="3">
        <v>10</v>
      </c>
      <c r="C48" s="25">
        <f t="shared" si="9"/>
        <v>76.777531637759992</v>
      </c>
      <c r="E48" s="3">
        <v>10</v>
      </c>
      <c r="F48" s="25">
        <f t="shared" si="10"/>
        <v>19.525945668943852</v>
      </c>
      <c r="G48" s="1"/>
      <c r="I48">
        <v>10</v>
      </c>
      <c r="J48" s="37">
        <v>45915</v>
      </c>
      <c r="K48" s="37">
        <v>45919</v>
      </c>
      <c r="L48" s="3">
        <f t="shared" si="11"/>
        <v>4</v>
      </c>
      <c r="M48" s="3" t="s">
        <v>52</v>
      </c>
      <c r="N48" s="1">
        <v>30.29</v>
      </c>
      <c r="O48" s="1">
        <v>31.97</v>
      </c>
      <c r="P48" s="3">
        <v>0.29885285</v>
      </c>
      <c r="Q48" s="35">
        <f t="shared" si="16"/>
        <v>9.0522528265000002</v>
      </c>
      <c r="R48" s="35">
        <f t="shared" si="15"/>
        <v>9.5543256144999997</v>
      </c>
      <c r="S48" s="35">
        <f t="shared" si="13"/>
        <v>0.50207278799999955</v>
      </c>
      <c r="T48" s="56">
        <f t="shared" si="14"/>
        <v>5.5463849455265758E-2</v>
      </c>
      <c r="X48" s="4"/>
    </row>
    <row r="49" spans="5:34" x14ac:dyDescent="0.3">
      <c r="E49" s="3">
        <v>11</v>
      </c>
      <c r="F49" s="25">
        <f t="shared" si="10"/>
        <v>19.838360799646953</v>
      </c>
      <c r="G49" s="1"/>
      <c r="I49">
        <v>11</v>
      </c>
      <c r="J49" s="37">
        <v>45915</v>
      </c>
      <c r="K49" s="37">
        <v>45922</v>
      </c>
      <c r="L49" s="3">
        <f t="shared" si="11"/>
        <v>7</v>
      </c>
      <c r="M49" s="3" t="s">
        <v>25</v>
      </c>
      <c r="N49" s="1">
        <v>4.9850000000000003</v>
      </c>
      <c r="O49" s="1">
        <v>5.33</v>
      </c>
      <c r="P49" s="3">
        <v>2.0054287999999998</v>
      </c>
      <c r="Q49" s="35">
        <f t="shared" si="16"/>
        <v>9.9970625679999987</v>
      </c>
      <c r="R49" s="35">
        <f t="shared" ref="R49:R57" si="17">P49*O49</f>
        <v>10.688935504</v>
      </c>
      <c r="S49" s="35">
        <f t="shared" si="13"/>
        <v>0.6918729360000011</v>
      </c>
      <c r="T49" s="56">
        <f t="shared" si="14"/>
        <v>6.9207622868605767E-2</v>
      </c>
    </row>
    <row r="50" spans="5:34" x14ac:dyDescent="0.3">
      <c r="E50" s="3">
        <v>12</v>
      </c>
      <c r="F50" s="25">
        <f t="shared" si="10"/>
        <v>20.155774572441306</v>
      </c>
      <c r="G50" s="1"/>
      <c r="I50">
        <v>12</v>
      </c>
      <c r="J50" s="37">
        <v>45915</v>
      </c>
      <c r="K50" s="37">
        <v>45922</v>
      </c>
      <c r="L50" s="3">
        <f t="shared" si="11"/>
        <v>7</v>
      </c>
      <c r="M50" s="3" t="s">
        <v>59</v>
      </c>
      <c r="N50" s="1">
        <v>10.220000000000001</v>
      </c>
      <c r="O50" s="1">
        <v>13.24</v>
      </c>
      <c r="P50" s="3">
        <v>0.77968884000000005</v>
      </c>
      <c r="Q50" s="35">
        <f t="shared" si="16"/>
        <v>7.9684199448000008</v>
      </c>
      <c r="R50" s="35">
        <f t="shared" si="17"/>
        <v>10.323080241600001</v>
      </c>
      <c r="S50" s="35">
        <f t="shared" si="13"/>
        <v>2.3546602968000006</v>
      </c>
      <c r="T50" s="56">
        <f t="shared" si="14"/>
        <v>0.29549902152641871</v>
      </c>
    </row>
    <row r="51" spans="5:34" x14ac:dyDescent="0.3">
      <c r="E51" s="3"/>
      <c r="F51" s="25"/>
      <c r="G51" s="1"/>
      <c r="I51">
        <v>13</v>
      </c>
      <c r="J51" s="37">
        <v>45917</v>
      </c>
      <c r="K51" s="37">
        <v>45931</v>
      </c>
      <c r="L51" s="3">
        <f t="shared" si="11"/>
        <v>14</v>
      </c>
      <c r="M51" s="3" t="s">
        <v>41</v>
      </c>
      <c r="N51" s="1">
        <v>12.8</v>
      </c>
      <c r="O51" s="1">
        <v>15.17</v>
      </c>
      <c r="P51" s="3">
        <v>0.78125</v>
      </c>
      <c r="Q51" s="35">
        <f t="shared" si="16"/>
        <v>10</v>
      </c>
      <c r="R51" s="35">
        <f t="shared" si="17"/>
        <v>11.8515625</v>
      </c>
      <c r="S51" s="35">
        <f t="shared" si="13"/>
        <v>1.8515625</v>
      </c>
      <c r="T51" s="56">
        <f t="shared" si="14"/>
        <v>0.18515624999999994</v>
      </c>
    </row>
    <row r="52" spans="5:34" x14ac:dyDescent="0.3">
      <c r="I52">
        <v>14</v>
      </c>
      <c r="J52" s="37">
        <v>45926</v>
      </c>
      <c r="K52" s="63">
        <v>45931</v>
      </c>
      <c r="L52" s="3">
        <f t="shared" si="11"/>
        <v>5</v>
      </c>
      <c r="M52" s="3" t="s">
        <v>71</v>
      </c>
      <c r="N52" s="1">
        <v>1.85</v>
      </c>
      <c r="O52" s="35">
        <v>2.02</v>
      </c>
      <c r="P52" s="3">
        <v>1.9081081</v>
      </c>
      <c r="Q52" s="35">
        <f t="shared" si="16"/>
        <v>3.5299999850000003</v>
      </c>
      <c r="R52" s="35">
        <f t="shared" si="17"/>
        <v>3.8543783619999998</v>
      </c>
      <c r="S52" s="35">
        <f t="shared" si="13"/>
        <v>0.3243783769999995</v>
      </c>
      <c r="T52" s="56">
        <f t="shared" si="14"/>
        <v>9.1891891891891855E-2</v>
      </c>
    </row>
    <row r="53" spans="5:34" x14ac:dyDescent="0.3">
      <c r="I53">
        <v>15</v>
      </c>
      <c r="J53" s="37">
        <v>45919</v>
      </c>
      <c r="K53" s="63">
        <v>45932</v>
      </c>
      <c r="L53" s="3">
        <f t="shared" si="11"/>
        <v>13</v>
      </c>
      <c r="M53" s="3" t="s">
        <v>64</v>
      </c>
      <c r="N53" s="1">
        <v>11.64</v>
      </c>
      <c r="O53" s="35">
        <v>12.88</v>
      </c>
      <c r="P53" s="3">
        <v>0.85910651999999998</v>
      </c>
      <c r="Q53" s="35">
        <f t="shared" si="16"/>
        <v>9.9999998928</v>
      </c>
      <c r="R53" s="35">
        <f t="shared" si="17"/>
        <v>11.065291977600001</v>
      </c>
      <c r="S53" s="35">
        <f t="shared" si="13"/>
        <v>1.0652920848000011</v>
      </c>
      <c r="T53" s="56">
        <f t="shared" si="14"/>
        <v>0.10652920962199314</v>
      </c>
    </row>
    <row r="54" spans="5:34" x14ac:dyDescent="0.3">
      <c r="I54">
        <v>16</v>
      </c>
      <c r="J54" s="37">
        <v>45884</v>
      </c>
      <c r="K54" s="63">
        <v>45932</v>
      </c>
      <c r="L54" s="3">
        <f t="shared" si="11"/>
        <v>48</v>
      </c>
      <c r="M54" s="3" t="s">
        <v>2</v>
      </c>
      <c r="N54" s="1">
        <v>2.2400000000000002</v>
      </c>
      <c r="O54" s="35">
        <v>2.34</v>
      </c>
      <c r="P54" s="3">
        <v>1.8526785699999999</v>
      </c>
      <c r="Q54" s="35">
        <f t="shared" si="16"/>
        <v>4.1499999968000001</v>
      </c>
      <c r="R54" s="35">
        <f t="shared" si="17"/>
        <v>4.3352678537999996</v>
      </c>
      <c r="S54" s="35">
        <f t="shared" si="13"/>
        <v>0.18526785699999948</v>
      </c>
      <c r="T54" s="56">
        <f t="shared" si="14"/>
        <v>4.4642857142856977E-2</v>
      </c>
      <c r="U54" s="3"/>
      <c r="V54" s="3"/>
      <c r="W54" s="3"/>
    </row>
    <row r="55" spans="5:34" x14ac:dyDescent="0.3">
      <c r="I55">
        <v>17</v>
      </c>
      <c r="J55" s="37">
        <v>45931</v>
      </c>
      <c r="K55" s="63">
        <v>45932</v>
      </c>
      <c r="L55" s="3">
        <f t="shared" si="11"/>
        <v>1</v>
      </c>
      <c r="M55" s="3" t="s">
        <v>72</v>
      </c>
      <c r="N55" s="1">
        <v>5.31</v>
      </c>
      <c r="O55" s="35">
        <v>5.93</v>
      </c>
      <c r="P55" s="3">
        <v>1.88323917</v>
      </c>
      <c r="Q55" s="35">
        <f t="shared" si="16"/>
        <v>9.9999999926999994</v>
      </c>
      <c r="R55" s="35">
        <f t="shared" si="17"/>
        <v>11.167608278099999</v>
      </c>
      <c r="S55" s="35">
        <f t="shared" si="13"/>
        <v>1.1676082854000001</v>
      </c>
      <c r="T55" s="56">
        <f t="shared" si="14"/>
        <v>0.11676082862523543</v>
      </c>
      <c r="U55" s="61"/>
      <c r="V55" s="61"/>
      <c r="W55" s="61"/>
    </row>
    <row r="56" spans="5:34" x14ac:dyDescent="0.3">
      <c r="I56">
        <v>18</v>
      </c>
      <c r="J56" s="37">
        <v>45926</v>
      </c>
      <c r="K56" s="63">
        <v>45936</v>
      </c>
      <c r="L56" s="3">
        <f t="shared" si="11"/>
        <v>10</v>
      </c>
      <c r="M56" s="3" t="s">
        <v>25</v>
      </c>
      <c r="N56" s="1">
        <v>5.08</v>
      </c>
      <c r="O56" s="35">
        <v>5.74</v>
      </c>
      <c r="P56" s="23">
        <v>1.96850393</v>
      </c>
      <c r="Q56" s="35">
        <f t="shared" si="16"/>
        <v>9.9999999644000006</v>
      </c>
      <c r="R56" s="35">
        <f t="shared" si="17"/>
        <v>11.299212558200001</v>
      </c>
      <c r="S56" s="35">
        <f t="shared" si="13"/>
        <v>1.2992125938000001</v>
      </c>
      <c r="T56" s="56">
        <f t="shared" si="14"/>
        <v>0.1299212598425197</v>
      </c>
      <c r="U56" s="61"/>
      <c r="V56" s="61"/>
      <c r="W56" s="61"/>
    </row>
    <row r="57" spans="5:34" x14ac:dyDescent="0.3">
      <c r="I57">
        <v>19</v>
      </c>
      <c r="J57" s="37">
        <v>45936</v>
      </c>
      <c r="K57" s="63">
        <v>45950</v>
      </c>
      <c r="L57" s="3">
        <f t="shared" si="11"/>
        <v>14</v>
      </c>
      <c r="M57" s="3" t="s">
        <v>78</v>
      </c>
      <c r="N57" s="1">
        <f>9.01</f>
        <v>9.01</v>
      </c>
      <c r="O57" s="35">
        <v>9.48</v>
      </c>
      <c r="P57" s="3">
        <f>1.11111111+0.39689578</f>
        <v>1.5080068899999999</v>
      </c>
      <c r="Q57" s="35">
        <f t="shared" si="16"/>
        <v>13.587142078899998</v>
      </c>
      <c r="R57" s="35">
        <f t="shared" si="17"/>
        <v>14.295905317199999</v>
      </c>
      <c r="S57" s="35">
        <f t="shared" si="13"/>
        <v>0.70876323830000132</v>
      </c>
      <c r="T57" s="56">
        <f t="shared" ref="T57:T62" si="18">(O57-N57)/N57</f>
        <v>5.2164261931187644E-2</v>
      </c>
      <c r="U57" s="61"/>
      <c r="V57" s="61"/>
      <c r="W57" s="61"/>
    </row>
    <row r="58" spans="5:34" x14ac:dyDescent="0.3">
      <c r="I58">
        <v>20</v>
      </c>
      <c r="J58" s="37">
        <v>45932</v>
      </c>
      <c r="K58" s="37">
        <v>45951</v>
      </c>
      <c r="L58" s="3">
        <f t="shared" si="11"/>
        <v>19</v>
      </c>
      <c r="M58" s="3" t="s">
        <v>75</v>
      </c>
      <c r="N58" s="1">
        <v>10.34</v>
      </c>
      <c r="O58" s="35">
        <v>10.87</v>
      </c>
      <c r="P58" s="70">
        <f>0.55286129+0.11260827+0.30358874</f>
        <v>0.96905829999999993</v>
      </c>
      <c r="Q58" s="35">
        <f t="shared" ref="Q58:Q66" si="19">N58*P58</f>
        <v>10.020062822</v>
      </c>
      <c r="R58" s="35">
        <f t="shared" ref="R58:R66" si="20">P58*O58</f>
        <v>10.533663720999998</v>
      </c>
      <c r="S58" s="35">
        <f t="shared" ref="S58:S66" si="21">(O58*P58)-Q58</f>
        <v>0.51360089899999828</v>
      </c>
      <c r="T58" s="56">
        <f t="shared" si="18"/>
        <v>5.1257253384912896E-2</v>
      </c>
      <c r="U58" s="37"/>
      <c r="V58" s="63"/>
      <c r="W58" s="3"/>
      <c r="X58" s="3"/>
      <c r="Y58" s="1"/>
      <c r="Z58" s="35"/>
      <c r="AA58" s="55"/>
      <c r="AB58" s="35"/>
      <c r="AC58" s="35"/>
      <c r="AD58" s="35"/>
      <c r="AE58" s="56"/>
      <c r="AF58" s="61"/>
      <c r="AG58" s="61"/>
      <c r="AH58" s="61"/>
    </row>
    <row r="59" spans="5:34" x14ac:dyDescent="0.3">
      <c r="I59">
        <v>21</v>
      </c>
      <c r="J59" s="37">
        <v>45937</v>
      </c>
      <c r="K59" s="37">
        <v>45951</v>
      </c>
      <c r="L59" s="3">
        <f t="shared" si="11"/>
        <v>14</v>
      </c>
      <c r="M59" s="3" t="s">
        <v>97</v>
      </c>
      <c r="N59" s="1">
        <v>11.68</v>
      </c>
      <c r="O59" s="35">
        <v>12.33</v>
      </c>
      <c r="P59" s="70">
        <v>0.85616437999999995</v>
      </c>
      <c r="Q59" s="35">
        <f t="shared" si="19"/>
        <v>9.9999999583999983</v>
      </c>
      <c r="R59" s="35">
        <f t="shared" si="20"/>
        <v>10.5565068054</v>
      </c>
      <c r="S59" s="35">
        <f t="shared" si="21"/>
        <v>0.55650684700000141</v>
      </c>
      <c r="T59" s="56">
        <f t="shared" si="18"/>
        <v>5.5650684931506884E-2</v>
      </c>
      <c r="U59" s="37"/>
      <c r="V59" s="63"/>
      <c r="W59" s="3"/>
      <c r="X59" s="3"/>
      <c r="Y59" s="1"/>
      <c r="Z59" s="35"/>
      <c r="AA59" s="55"/>
      <c r="AB59" s="35"/>
      <c r="AC59" s="35"/>
      <c r="AD59" s="35"/>
      <c r="AE59" s="56"/>
      <c r="AF59" s="61"/>
      <c r="AG59" s="61"/>
      <c r="AH59" s="61"/>
    </row>
    <row r="60" spans="5:34" x14ac:dyDescent="0.3">
      <c r="I60">
        <v>22</v>
      </c>
      <c r="J60" s="37">
        <v>45938</v>
      </c>
      <c r="K60" s="37">
        <v>45951</v>
      </c>
      <c r="L60" s="3">
        <f t="shared" si="11"/>
        <v>13</v>
      </c>
      <c r="M60" s="3" t="s">
        <v>98</v>
      </c>
      <c r="N60" s="1">
        <v>14.42</v>
      </c>
      <c r="O60" s="35">
        <v>15.12</v>
      </c>
      <c r="P60" s="3">
        <v>0.69348127000000004</v>
      </c>
      <c r="Q60" s="35">
        <f t="shared" si="19"/>
        <v>9.9999999133999999</v>
      </c>
      <c r="R60" s="35">
        <f t="shared" si="20"/>
        <v>10.485436802400001</v>
      </c>
      <c r="S60" s="35">
        <f t="shared" si="21"/>
        <v>0.4854368890000007</v>
      </c>
      <c r="T60" s="56">
        <f t="shared" si="18"/>
        <v>4.85436893203883E-2</v>
      </c>
      <c r="U60" s="37"/>
      <c r="V60" s="63"/>
      <c r="W60" s="3"/>
      <c r="X60" s="3"/>
      <c r="Y60" s="1"/>
      <c r="Z60" s="35"/>
      <c r="AA60" s="55"/>
      <c r="AB60" s="35"/>
      <c r="AC60" s="35"/>
      <c r="AD60" s="35"/>
      <c r="AE60" s="56"/>
      <c r="AF60" s="61"/>
      <c r="AG60" s="61"/>
      <c r="AH60" s="61"/>
    </row>
    <row r="61" spans="5:34" x14ac:dyDescent="0.3">
      <c r="I61">
        <v>23</v>
      </c>
      <c r="J61" s="37">
        <v>45925</v>
      </c>
      <c r="K61" s="37">
        <v>45952</v>
      </c>
      <c r="L61" s="3">
        <f t="shared" si="11"/>
        <v>27</v>
      </c>
      <c r="M61" s="3" t="s">
        <v>69</v>
      </c>
      <c r="N61" s="1">
        <v>16.66</v>
      </c>
      <c r="O61" s="35">
        <v>17.510000000000002</v>
      </c>
      <c r="P61" s="3">
        <v>0.60024009</v>
      </c>
      <c r="Q61" s="35">
        <f t="shared" si="19"/>
        <v>9.9999998994000006</v>
      </c>
      <c r="R61" s="35">
        <f t="shared" si="20"/>
        <v>10.510203975900001</v>
      </c>
      <c r="S61" s="35">
        <f t="shared" si="21"/>
        <v>0.51020407650000088</v>
      </c>
      <c r="T61" s="56">
        <f t="shared" si="18"/>
        <v>5.1020408163265391E-2</v>
      </c>
      <c r="U61" s="37"/>
      <c r="V61" s="63"/>
      <c r="W61" s="3"/>
      <c r="X61" s="3"/>
      <c r="Y61" s="1"/>
      <c r="Z61" s="35"/>
      <c r="AA61" s="55"/>
      <c r="AB61" s="35"/>
      <c r="AC61" s="35"/>
      <c r="AD61" s="35"/>
      <c r="AE61" s="56"/>
      <c r="AF61" s="61"/>
      <c r="AG61" s="61"/>
      <c r="AH61" s="61"/>
    </row>
    <row r="62" spans="5:34" x14ac:dyDescent="0.3">
      <c r="I62">
        <v>24</v>
      </c>
      <c r="J62" s="37">
        <v>45951</v>
      </c>
      <c r="K62" s="37">
        <v>45953</v>
      </c>
      <c r="L62" s="3">
        <f t="shared" si="11"/>
        <v>2</v>
      </c>
      <c r="M62" s="3" t="s">
        <v>88</v>
      </c>
      <c r="N62" s="1">
        <v>8.1199999999999992</v>
      </c>
      <c r="O62" s="35">
        <v>8.5500000000000007</v>
      </c>
      <c r="P62" s="3">
        <v>1.2315270899999999</v>
      </c>
      <c r="Q62" s="35">
        <f t="shared" si="19"/>
        <v>9.9999999707999994</v>
      </c>
      <c r="R62" s="35">
        <f t="shared" si="20"/>
        <v>10.529556619500001</v>
      </c>
      <c r="S62" s="35">
        <f t="shared" si="21"/>
        <v>0.52955664870000163</v>
      </c>
      <c r="T62" s="56">
        <f t="shared" si="18"/>
        <v>5.2955665024630734E-2</v>
      </c>
      <c r="U62" s="37"/>
      <c r="V62" s="63"/>
      <c r="W62" s="3"/>
      <c r="X62" s="3"/>
      <c r="Y62" s="1"/>
      <c r="Z62" s="35"/>
      <c r="AA62" s="35"/>
      <c r="AB62" s="35"/>
      <c r="AC62" s="35"/>
      <c r="AD62" s="35"/>
      <c r="AE62" s="56"/>
      <c r="AF62" s="61"/>
      <c r="AG62" s="61"/>
      <c r="AH62" s="61"/>
    </row>
    <row r="63" spans="5:34" x14ac:dyDescent="0.3">
      <c r="I63">
        <v>25</v>
      </c>
      <c r="J63" s="37">
        <v>45937</v>
      </c>
      <c r="K63" s="37">
        <v>45954</v>
      </c>
      <c r="L63" s="3">
        <f t="shared" si="11"/>
        <v>17</v>
      </c>
      <c r="M63" s="3" t="s">
        <v>52</v>
      </c>
      <c r="N63" s="1">
        <v>27.27</v>
      </c>
      <c r="O63" s="35">
        <v>28.62</v>
      </c>
      <c r="P63" s="3">
        <v>0.36670332999999999</v>
      </c>
      <c r="Q63" s="35">
        <f t="shared" si="19"/>
        <v>9.9999998091000002</v>
      </c>
      <c r="R63" s="35">
        <f t="shared" si="20"/>
        <v>10.4950493046</v>
      </c>
      <c r="S63" s="35">
        <f t="shared" si="21"/>
        <v>0.49504949549999999</v>
      </c>
      <c r="T63" s="56">
        <f>(O63-N63)/N63</f>
        <v>4.9504950495049556E-2</v>
      </c>
      <c r="U63" s="37"/>
      <c r="V63" s="63"/>
      <c r="W63" s="3"/>
      <c r="X63" s="3"/>
      <c r="Y63" s="1"/>
      <c r="Z63" s="35"/>
      <c r="AA63" s="35"/>
      <c r="AB63" s="35"/>
      <c r="AC63" s="35"/>
      <c r="AD63" s="35"/>
      <c r="AE63" s="56"/>
      <c r="AF63" s="61"/>
      <c r="AG63" s="61"/>
      <c r="AH63" s="61"/>
    </row>
    <row r="64" spans="5:34" x14ac:dyDescent="0.3">
      <c r="I64">
        <v>26</v>
      </c>
      <c r="J64" s="37">
        <v>45951</v>
      </c>
      <c r="K64" s="37">
        <v>45957</v>
      </c>
      <c r="L64" s="3">
        <f t="shared" si="11"/>
        <v>6</v>
      </c>
      <c r="M64" s="3" t="s">
        <v>100</v>
      </c>
      <c r="N64" s="1">
        <v>33.03</v>
      </c>
      <c r="O64" s="35">
        <v>34.78</v>
      </c>
      <c r="P64" s="3">
        <v>0.30275507000000002</v>
      </c>
      <c r="Q64" s="35">
        <f t="shared" si="19"/>
        <v>9.9999999621000004</v>
      </c>
      <c r="R64" s="35">
        <f t="shared" si="20"/>
        <v>10.529821334600001</v>
      </c>
      <c r="S64" s="35">
        <f t="shared" si="21"/>
        <v>0.52982137250000072</v>
      </c>
      <c r="T64" s="56">
        <f>(O64-N64)/N64</f>
        <v>5.2982137450802297E-2</v>
      </c>
      <c r="U64" s="37"/>
      <c r="V64" s="63"/>
      <c r="W64" s="3"/>
      <c r="X64" s="3"/>
      <c r="Y64" s="1"/>
      <c r="Z64" s="35"/>
      <c r="AA64" s="35"/>
      <c r="AB64" s="35"/>
      <c r="AC64" s="35"/>
      <c r="AD64" s="35"/>
      <c r="AE64" s="56"/>
      <c r="AF64" s="61"/>
      <c r="AG64" s="61"/>
      <c r="AH64" s="61"/>
    </row>
    <row r="65" spans="9:34" x14ac:dyDescent="0.3">
      <c r="I65">
        <v>27</v>
      </c>
      <c r="J65" s="37">
        <v>45951</v>
      </c>
      <c r="K65" s="37">
        <v>45958</v>
      </c>
      <c r="L65" s="3">
        <f t="shared" si="11"/>
        <v>7</v>
      </c>
      <c r="M65" s="3" t="s">
        <v>99</v>
      </c>
      <c r="N65" s="1">
        <v>32.85</v>
      </c>
      <c r="O65" s="35">
        <v>34.58</v>
      </c>
      <c r="P65" s="3">
        <v>0.13789953999999999</v>
      </c>
      <c r="Q65" s="35">
        <f t="shared" si="19"/>
        <v>4.5299998889999999</v>
      </c>
      <c r="R65" s="35">
        <f t="shared" si="20"/>
        <v>4.7685660931999996</v>
      </c>
      <c r="S65" s="35">
        <f t="shared" si="21"/>
        <v>0.23856620419999963</v>
      </c>
      <c r="T65" s="56">
        <f>(O65-N65)/N65</f>
        <v>5.2663622526636131E-2</v>
      </c>
      <c r="U65" s="37"/>
      <c r="V65" s="63"/>
      <c r="W65" s="3"/>
      <c r="X65" s="3"/>
      <c r="Y65" s="1"/>
      <c r="Z65" s="35"/>
      <c r="AA65" s="35"/>
      <c r="AB65" s="35"/>
      <c r="AC65" s="35"/>
      <c r="AD65" s="35"/>
      <c r="AE65" s="56"/>
      <c r="AF65" s="61"/>
      <c r="AG65" s="61"/>
      <c r="AH65" s="61"/>
    </row>
    <row r="66" spans="9:34" x14ac:dyDescent="0.3">
      <c r="I66">
        <v>28</v>
      </c>
      <c r="J66" s="37">
        <v>45925</v>
      </c>
      <c r="K66" s="37">
        <v>45960</v>
      </c>
      <c r="L66" s="3">
        <f t="shared" si="11"/>
        <v>35</v>
      </c>
      <c r="M66" s="3" t="s">
        <v>70</v>
      </c>
      <c r="N66" s="1">
        <v>16.04</v>
      </c>
      <c r="O66" s="35">
        <v>16.82</v>
      </c>
      <c r="P66" s="3">
        <v>0.62344138999999998</v>
      </c>
      <c r="Q66" s="35">
        <f t="shared" si="19"/>
        <v>9.9999998955999985</v>
      </c>
      <c r="R66" s="35">
        <f t="shared" si="20"/>
        <v>10.4862841798</v>
      </c>
      <c r="S66" s="35">
        <f t="shared" si="21"/>
        <v>0.48628428420000169</v>
      </c>
      <c r="T66" s="56">
        <f>(O66-N66)/N66</f>
        <v>4.8628428927680871E-2</v>
      </c>
      <c r="U66" s="37"/>
      <c r="V66" s="63"/>
      <c r="W66" s="3"/>
      <c r="X66" s="3"/>
      <c r="Y66" s="1"/>
      <c r="Z66" s="35"/>
      <c r="AA66" s="35"/>
      <c r="AB66" s="35"/>
      <c r="AC66" s="35"/>
      <c r="AD66" s="35"/>
      <c r="AE66" s="56"/>
      <c r="AF66" s="61"/>
      <c r="AG66" s="61"/>
      <c r="AH66" s="61"/>
    </row>
    <row r="67" spans="9:34" x14ac:dyDescent="0.3">
      <c r="I67">
        <v>29</v>
      </c>
      <c r="J67" s="37">
        <v>45953</v>
      </c>
      <c r="K67" s="37">
        <v>45968</v>
      </c>
      <c r="L67" s="3">
        <f t="shared" si="11"/>
        <v>15</v>
      </c>
      <c r="M67" s="3" t="s">
        <v>32</v>
      </c>
      <c r="N67" s="1">
        <v>16.649999999999999</v>
      </c>
      <c r="O67" s="35">
        <v>17.52</v>
      </c>
      <c r="P67" s="3">
        <v>0.66066066000000001</v>
      </c>
      <c r="Q67" s="35">
        <f t="shared" ref="Q67:Q72" si="22">N67*P67</f>
        <v>10.999999988999999</v>
      </c>
      <c r="R67" s="35">
        <f t="shared" ref="R67:R72" si="23">P67*O67</f>
        <v>11.574774763200001</v>
      </c>
      <c r="S67" s="35">
        <f t="shared" ref="S67:S72" si="24">(O67*P67)-Q67</f>
        <v>0.57477477420000156</v>
      </c>
      <c r="T67" s="56">
        <f t="shared" ref="T67:T81" si="25">(O67-N67)/N67</f>
        <v>5.2252252252252315E-2</v>
      </c>
      <c r="U67" s="37"/>
      <c r="V67" s="63"/>
      <c r="W67" s="3"/>
      <c r="X67" s="3"/>
      <c r="Y67" s="1"/>
      <c r="Z67" s="35"/>
      <c r="AA67" s="35"/>
      <c r="AB67" s="35"/>
      <c r="AC67" s="35"/>
      <c r="AD67" s="35"/>
      <c r="AE67" s="56"/>
      <c r="AF67" s="61"/>
      <c r="AG67" s="61"/>
      <c r="AH67" s="61"/>
    </row>
    <row r="68" spans="9:34" x14ac:dyDescent="0.3">
      <c r="I68">
        <v>30</v>
      </c>
      <c r="J68" s="37">
        <v>45968</v>
      </c>
      <c r="K68" s="37">
        <v>45968</v>
      </c>
      <c r="L68" s="3">
        <f t="shared" si="11"/>
        <v>0</v>
      </c>
      <c r="M68" s="3" t="s">
        <v>81</v>
      </c>
      <c r="N68" s="1">
        <v>5.61</v>
      </c>
      <c r="O68" s="35">
        <v>6.01</v>
      </c>
      <c r="P68" s="3">
        <v>1.7825310999999999</v>
      </c>
      <c r="Q68" s="35">
        <f t="shared" si="22"/>
        <v>9.9999994710000006</v>
      </c>
      <c r="R68" s="35">
        <f t="shared" si="23"/>
        <v>10.713011910999999</v>
      </c>
      <c r="S68" s="35">
        <f t="shared" si="24"/>
        <v>0.71301243999999819</v>
      </c>
      <c r="T68" s="56">
        <f t="shared" si="25"/>
        <v>7.1301247771835913E-2</v>
      </c>
      <c r="U68" s="37"/>
      <c r="V68" s="63"/>
      <c r="W68" s="3"/>
      <c r="X68" s="3"/>
      <c r="Y68" s="1"/>
      <c r="Z68" s="35"/>
      <c r="AA68" s="35"/>
      <c r="AB68" s="35"/>
      <c r="AC68" s="35"/>
      <c r="AD68" s="35"/>
      <c r="AE68" s="56"/>
      <c r="AF68" s="61"/>
      <c r="AG68" s="61"/>
      <c r="AH68" s="61"/>
    </row>
    <row r="69" spans="9:34" x14ac:dyDescent="0.3">
      <c r="I69">
        <v>31</v>
      </c>
      <c r="J69" s="37">
        <v>45937</v>
      </c>
      <c r="K69" s="37">
        <v>45971</v>
      </c>
      <c r="L69" s="3">
        <f t="shared" si="11"/>
        <v>34</v>
      </c>
      <c r="M69" s="3" t="s">
        <v>83</v>
      </c>
      <c r="N69" s="1">
        <v>9.93</v>
      </c>
      <c r="O69" s="35">
        <v>10.44</v>
      </c>
      <c r="P69" s="3">
        <v>1.00704934</v>
      </c>
      <c r="Q69" s="35">
        <f t="shared" si="22"/>
        <v>9.9999999461999991</v>
      </c>
      <c r="R69" s="35">
        <f t="shared" si="23"/>
        <v>10.513595109599999</v>
      </c>
      <c r="S69" s="35">
        <f t="shared" si="24"/>
        <v>0.51359516339999978</v>
      </c>
      <c r="T69" s="56">
        <f t="shared" si="25"/>
        <v>5.1359516616314181E-2</v>
      </c>
      <c r="U69" s="37"/>
      <c r="V69" s="63"/>
      <c r="W69" s="3"/>
      <c r="X69" s="3"/>
      <c r="Y69" s="1"/>
      <c r="Z69" s="35"/>
      <c r="AA69" s="35"/>
      <c r="AB69" s="35"/>
      <c r="AC69" s="35"/>
      <c r="AD69" s="35"/>
      <c r="AE69" s="56"/>
      <c r="AF69" s="61"/>
      <c r="AG69" s="61"/>
      <c r="AH69" s="61"/>
    </row>
    <row r="70" spans="9:34" x14ac:dyDescent="0.3">
      <c r="I70">
        <v>32</v>
      </c>
      <c r="J70" s="37">
        <v>45932</v>
      </c>
      <c r="K70" s="37">
        <v>45972</v>
      </c>
      <c r="L70" s="3">
        <f t="shared" si="11"/>
        <v>40</v>
      </c>
      <c r="M70" s="3" t="s">
        <v>77</v>
      </c>
      <c r="N70" s="1">
        <v>11.62</v>
      </c>
      <c r="O70" s="35">
        <v>12.2</v>
      </c>
      <c r="P70" s="3">
        <v>0.86058519</v>
      </c>
      <c r="Q70" s="35">
        <f t="shared" si="22"/>
        <v>9.9999999077999995</v>
      </c>
      <c r="R70" s="35">
        <f t="shared" si="23"/>
        <v>10.499139317999999</v>
      </c>
      <c r="S70" s="35">
        <f t="shared" si="24"/>
        <v>0.49913941019999974</v>
      </c>
      <c r="T70" s="56">
        <f t="shared" si="25"/>
        <v>4.9913941480206551E-2</v>
      </c>
      <c r="U70" s="37"/>
      <c r="V70" s="63"/>
      <c r="W70" s="3"/>
      <c r="X70" s="3"/>
      <c r="Y70" s="1"/>
      <c r="Z70" s="35"/>
      <c r="AA70" s="35"/>
      <c r="AB70" s="35"/>
      <c r="AC70" s="35"/>
      <c r="AD70" s="35"/>
      <c r="AE70" s="56"/>
      <c r="AF70" s="61"/>
      <c r="AG70" s="61"/>
      <c r="AH70" s="61"/>
    </row>
    <row r="71" spans="9:34" x14ac:dyDescent="0.3">
      <c r="I71">
        <v>33</v>
      </c>
      <c r="J71" s="37">
        <v>45957</v>
      </c>
      <c r="K71" s="37">
        <v>45975</v>
      </c>
      <c r="L71" s="3">
        <f t="shared" si="11"/>
        <v>18</v>
      </c>
      <c r="M71" s="3" t="s">
        <v>79</v>
      </c>
      <c r="N71" s="1">
        <v>16.11</v>
      </c>
      <c r="O71" s="35">
        <v>16.989999999999998</v>
      </c>
      <c r="P71" s="70">
        <v>0.65611421000000003</v>
      </c>
      <c r="Q71" s="35">
        <f t="shared" si="22"/>
        <v>10.569999923099999</v>
      </c>
      <c r="R71" s="35">
        <f t="shared" si="23"/>
        <v>11.1473804279</v>
      </c>
      <c r="S71" s="35">
        <f t="shared" si="24"/>
        <v>0.57738050480000069</v>
      </c>
      <c r="T71" s="56">
        <f t="shared" si="25"/>
        <v>5.4624456859093673E-2</v>
      </c>
      <c r="U71" s="37"/>
      <c r="V71" s="63"/>
      <c r="W71" s="3"/>
      <c r="X71" s="3"/>
      <c r="Y71" s="1"/>
      <c r="Z71" s="35"/>
      <c r="AA71" s="35"/>
      <c r="AB71" s="35"/>
      <c r="AC71" s="35"/>
      <c r="AD71" s="35"/>
      <c r="AE71" s="56"/>
      <c r="AF71" s="61"/>
      <c r="AG71" s="61"/>
      <c r="AH71" s="61"/>
    </row>
    <row r="72" spans="9:34" x14ac:dyDescent="0.3">
      <c r="I72">
        <v>34</v>
      </c>
      <c r="J72" s="37">
        <v>45958</v>
      </c>
      <c r="K72" s="37">
        <v>45975</v>
      </c>
      <c r="L72" s="3">
        <f t="shared" si="11"/>
        <v>17</v>
      </c>
      <c r="M72" s="3" t="s">
        <v>101</v>
      </c>
      <c r="N72" s="1">
        <v>6.29</v>
      </c>
      <c r="O72" s="35">
        <v>6.3</v>
      </c>
      <c r="P72" s="3">
        <v>0.75834657999999999</v>
      </c>
      <c r="Q72" s="35">
        <f t="shared" si="22"/>
        <v>4.7699999882000004</v>
      </c>
      <c r="R72" s="35">
        <f t="shared" si="23"/>
        <v>4.7775834540000002</v>
      </c>
      <c r="S72" s="35">
        <f t="shared" si="24"/>
        <v>7.5834657999998001E-3</v>
      </c>
      <c r="T72" s="56">
        <f t="shared" si="25"/>
        <v>1.58982511923685E-3</v>
      </c>
      <c r="U72" s="37"/>
      <c r="V72" s="63"/>
      <c r="W72" s="3"/>
      <c r="X72" s="3"/>
      <c r="Y72" s="1"/>
      <c r="Z72" s="35"/>
      <c r="AA72" s="35"/>
      <c r="AB72" s="35"/>
      <c r="AC72" s="35"/>
      <c r="AD72" s="35"/>
      <c r="AE72" s="56"/>
      <c r="AF72" s="61"/>
      <c r="AG72" s="61"/>
      <c r="AH72" s="61"/>
    </row>
    <row r="73" spans="9:34" x14ac:dyDescent="0.3">
      <c r="I73">
        <v>35</v>
      </c>
      <c r="J73" s="37">
        <v>45968</v>
      </c>
      <c r="K73" s="37">
        <v>45985</v>
      </c>
      <c r="L73" s="3">
        <f t="shared" si="11"/>
        <v>17</v>
      </c>
      <c r="M73" s="3" t="s">
        <v>81</v>
      </c>
      <c r="N73" s="1">
        <v>6.03</v>
      </c>
      <c r="O73" s="35">
        <v>6.4</v>
      </c>
      <c r="P73" s="70">
        <v>1.6583747</v>
      </c>
      <c r="Q73" s="35">
        <f t="shared" ref="Q73:Q81" si="26">N73*P73</f>
        <v>9.9999994409999999</v>
      </c>
      <c r="R73" s="35">
        <f t="shared" ref="R73:R82" si="27">P73*O73</f>
        <v>10.613598080000001</v>
      </c>
      <c r="S73" s="35">
        <f t="shared" ref="S73:S81" si="28">(O73*P73)-Q73</f>
        <v>0.613598639000001</v>
      </c>
      <c r="T73" s="56">
        <f t="shared" si="25"/>
        <v>6.1359867330016596E-2</v>
      </c>
      <c r="U73" s="37"/>
      <c r="V73" s="63"/>
      <c r="W73" s="3"/>
      <c r="X73" s="3"/>
      <c r="Y73" s="1"/>
      <c r="Z73" s="35"/>
      <c r="AA73" s="35"/>
      <c r="AB73" s="35"/>
      <c r="AC73" s="35"/>
      <c r="AD73" s="35"/>
      <c r="AE73" s="56"/>
      <c r="AF73" s="61"/>
      <c r="AG73" s="61"/>
      <c r="AH73" s="61"/>
    </row>
    <row r="74" spans="9:34" x14ac:dyDescent="0.3">
      <c r="I74">
        <v>36</v>
      </c>
      <c r="J74" s="37">
        <v>45938</v>
      </c>
      <c r="K74" s="37">
        <v>45987</v>
      </c>
      <c r="L74" s="3">
        <f t="shared" si="11"/>
        <v>49</v>
      </c>
      <c r="M74" s="3" t="s">
        <v>95</v>
      </c>
      <c r="N74" s="1">
        <v>10.91</v>
      </c>
      <c r="O74" s="35">
        <v>11.5</v>
      </c>
      <c r="P74" s="3">
        <v>0.91659027999999998</v>
      </c>
      <c r="Q74" s="35">
        <f t="shared" si="26"/>
        <v>9.9999999547999998</v>
      </c>
      <c r="R74" s="35">
        <f t="shared" si="27"/>
        <v>10.54078822</v>
      </c>
      <c r="S74" s="35">
        <f t="shared" si="28"/>
        <v>0.54078826519999978</v>
      </c>
      <c r="T74" s="56">
        <f t="shared" si="25"/>
        <v>5.4078826764436282E-2</v>
      </c>
      <c r="U74" s="37"/>
      <c r="V74" s="63"/>
      <c r="W74" s="3"/>
      <c r="X74" s="3"/>
      <c r="Y74" s="1"/>
      <c r="Z74" s="35"/>
      <c r="AA74" s="35"/>
      <c r="AB74" s="35"/>
      <c r="AC74" s="35"/>
      <c r="AD74" s="35"/>
      <c r="AE74" s="56"/>
      <c r="AF74" s="61"/>
      <c r="AG74" s="61"/>
      <c r="AH74" s="61"/>
    </row>
    <row r="75" spans="9:34" x14ac:dyDescent="0.3">
      <c r="I75">
        <v>37</v>
      </c>
      <c r="J75" s="37">
        <v>45975</v>
      </c>
      <c r="K75" s="37">
        <v>45987</v>
      </c>
      <c r="L75" s="3">
        <f t="shared" si="11"/>
        <v>12</v>
      </c>
      <c r="M75" s="3" t="s">
        <v>92</v>
      </c>
      <c r="N75" s="1">
        <v>35.049999999999997</v>
      </c>
      <c r="O75" s="35">
        <v>36.979999999999997</v>
      </c>
      <c r="P75" s="3">
        <v>0.31383737</v>
      </c>
      <c r="Q75" s="35">
        <f t="shared" si="26"/>
        <v>10.999999818499999</v>
      </c>
      <c r="R75" s="35">
        <f t="shared" si="27"/>
        <v>11.605705942599998</v>
      </c>
      <c r="S75" s="35">
        <f t="shared" si="28"/>
        <v>0.60570612409999924</v>
      </c>
      <c r="T75" s="56">
        <f t="shared" si="25"/>
        <v>5.5064194008559199E-2</v>
      </c>
      <c r="U75" s="37"/>
      <c r="V75" s="63"/>
      <c r="W75" s="3"/>
      <c r="X75" s="3"/>
      <c r="Y75" s="1"/>
      <c r="Z75" s="35"/>
      <c r="AA75" s="35"/>
      <c r="AB75" s="35"/>
      <c r="AC75" s="35"/>
      <c r="AD75" s="35"/>
      <c r="AE75" s="56"/>
      <c r="AF75" s="61"/>
      <c r="AG75" s="61"/>
      <c r="AH75" s="61"/>
    </row>
    <row r="76" spans="9:34" x14ac:dyDescent="0.3">
      <c r="I76">
        <v>38</v>
      </c>
      <c r="J76" s="37">
        <v>45975</v>
      </c>
      <c r="K76" s="37">
        <v>45992</v>
      </c>
      <c r="L76" s="3">
        <f t="shared" si="11"/>
        <v>17</v>
      </c>
      <c r="M76" s="3" t="s">
        <v>87</v>
      </c>
      <c r="N76" s="1">
        <v>7.21</v>
      </c>
      <c r="O76" s="35">
        <v>7.54</v>
      </c>
      <c r="P76" s="69">
        <v>0.87378639999999996</v>
      </c>
      <c r="Q76" s="35">
        <f t="shared" si="26"/>
        <v>6.2999999439999996</v>
      </c>
      <c r="R76" s="35">
        <f t="shared" si="27"/>
        <v>6.5883494559999995</v>
      </c>
      <c r="S76" s="35">
        <f t="shared" si="28"/>
        <v>0.28834951199999992</v>
      </c>
      <c r="T76" s="56">
        <f t="shared" si="25"/>
        <v>4.5769764216366166E-2</v>
      </c>
      <c r="U76" s="37"/>
      <c r="V76" s="63"/>
      <c r="W76" s="3"/>
      <c r="X76" s="3"/>
      <c r="Y76" s="1"/>
      <c r="Z76" s="35"/>
      <c r="AA76" s="35"/>
      <c r="AB76" s="35"/>
      <c r="AC76" s="35"/>
      <c r="AD76" s="35"/>
      <c r="AE76" s="56"/>
      <c r="AF76" s="61"/>
      <c r="AG76" s="61"/>
      <c r="AH76" s="61"/>
    </row>
    <row r="77" spans="9:34" x14ac:dyDescent="0.3">
      <c r="I77">
        <v>39</v>
      </c>
      <c r="J77" s="37">
        <v>45985</v>
      </c>
      <c r="K77" s="37">
        <v>45993</v>
      </c>
      <c r="L77" s="3">
        <f t="shared" si="11"/>
        <v>8</v>
      </c>
      <c r="M77" s="3" t="s">
        <v>78</v>
      </c>
      <c r="N77" s="1">
        <v>7.27</v>
      </c>
      <c r="O77" s="35">
        <v>7.64</v>
      </c>
      <c r="P77" s="69">
        <v>1.46767537</v>
      </c>
      <c r="Q77" s="35">
        <f t="shared" si="26"/>
        <v>10.6699999399</v>
      </c>
      <c r="R77" s="35">
        <f t="shared" si="27"/>
        <v>11.213039826799999</v>
      </c>
      <c r="S77" s="35">
        <f t="shared" si="28"/>
        <v>0.54303988689999905</v>
      </c>
      <c r="T77" s="56">
        <f t="shared" si="25"/>
        <v>5.0894085281980764E-2</v>
      </c>
      <c r="U77" s="37"/>
      <c r="V77" s="63"/>
      <c r="W77" s="3"/>
      <c r="X77" s="3"/>
      <c r="Y77" s="1"/>
      <c r="Z77" s="35"/>
      <c r="AA77" s="35"/>
      <c r="AB77" s="35"/>
      <c r="AC77" s="35"/>
      <c r="AD77" s="35"/>
      <c r="AE77" s="56"/>
      <c r="AF77" s="61"/>
      <c r="AG77" s="61"/>
      <c r="AH77" s="61"/>
    </row>
    <row r="78" spans="9:34" x14ac:dyDescent="0.3">
      <c r="I78">
        <v>40</v>
      </c>
      <c r="J78" s="37">
        <v>45988</v>
      </c>
      <c r="K78" s="37">
        <v>45994</v>
      </c>
      <c r="L78" s="3">
        <f t="shared" si="11"/>
        <v>6</v>
      </c>
      <c r="M78" s="91" t="s">
        <v>119</v>
      </c>
      <c r="N78" s="1">
        <v>234.25</v>
      </c>
      <c r="O78" s="1">
        <v>251.5</v>
      </c>
      <c r="P78" s="69">
        <v>4.6958369999999999E-2</v>
      </c>
      <c r="Q78" s="2">
        <f t="shared" si="26"/>
        <v>10.9999981725</v>
      </c>
      <c r="R78" s="35">
        <f t="shared" si="27"/>
        <v>11.810030055</v>
      </c>
      <c r="S78" s="35">
        <f t="shared" si="28"/>
        <v>0.81003188250000058</v>
      </c>
      <c r="T78" s="56">
        <f t="shared" si="25"/>
        <v>7.3639274279615793E-2</v>
      </c>
      <c r="U78" s="37"/>
      <c r="V78" s="63"/>
      <c r="W78" s="3"/>
      <c r="X78" s="3"/>
      <c r="Y78" s="1"/>
      <c r="Z78" s="35"/>
      <c r="AA78" s="35"/>
      <c r="AB78" s="35"/>
      <c r="AC78" s="35"/>
      <c r="AD78" s="35"/>
      <c r="AE78" s="56"/>
      <c r="AF78" s="61"/>
      <c r="AG78" s="61"/>
      <c r="AH78" s="61"/>
    </row>
    <row r="79" spans="9:34" x14ac:dyDescent="0.3">
      <c r="I79">
        <v>41</v>
      </c>
      <c r="J79" s="37">
        <v>45995</v>
      </c>
      <c r="K79" s="37">
        <v>46001</v>
      </c>
      <c r="L79" s="3">
        <f t="shared" si="11"/>
        <v>6</v>
      </c>
      <c r="M79" s="91" t="s">
        <v>122</v>
      </c>
      <c r="N79" s="1">
        <v>22</v>
      </c>
      <c r="O79" s="35">
        <v>22.75</v>
      </c>
      <c r="P79" s="69">
        <v>0.54545454000000004</v>
      </c>
      <c r="Q79" s="2">
        <f t="shared" si="26"/>
        <v>11.999999880000001</v>
      </c>
      <c r="R79" s="35">
        <f t="shared" si="27"/>
        <v>12.409090785000002</v>
      </c>
      <c r="S79" s="35">
        <f t="shared" si="28"/>
        <v>0.40909090500000111</v>
      </c>
      <c r="T79" s="56">
        <f t="shared" si="25"/>
        <v>3.4090909090909088E-2</v>
      </c>
      <c r="U79" s="37"/>
      <c r="V79" s="63"/>
      <c r="W79" s="3"/>
      <c r="X79" s="3"/>
      <c r="Y79" s="1"/>
      <c r="Z79" s="35"/>
      <c r="AA79" s="35"/>
      <c r="AB79" s="35"/>
      <c r="AC79" s="35"/>
      <c r="AD79" s="35"/>
      <c r="AE79" s="56"/>
      <c r="AF79" s="61"/>
      <c r="AG79" s="61"/>
      <c r="AH79" s="61"/>
    </row>
    <row r="80" spans="9:34" x14ac:dyDescent="0.3">
      <c r="I80">
        <v>42</v>
      </c>
      <c r="J80" s="37">
        <v>45937</v>
      </c>
      <c r="K80" s="37">
        <v>46002</v>
      </c>
      <c r="L80" s="3">
        <f t="shared" si="11"/>
        <v>65</v>
      </c>
      <c r="M80" s="3" t="s">
        <v>94</v>
      </c>
      <c r="N80" s="1">
        <v>11.71</v>
      </c>
      <c r="O80" s="1">
        <v>12.35</v>
      </c>
      <c r="P80" s="69">
        <v>0.85397095999999995</v>
      </c>
      <c r="Q80" s="2">
        <f t="shared" si="26"/>
        <v>9.9999999416000005</v>
      </c>
      <c r="R80" s="35">
        <f t="shared" si="27"/>
        <v>10.546541355999999</v>
      </c>
      <c r="S80" s="35">
        <f t="shared" si="28"/>
        <v>0.54654141439999826</v>
      </c>
      <c r="T80" s="56">
        <f t="shared" si="25"/>
        <v>5.4654141759180083E-2</v>
      </c>
      <c r="U80" s="37"/>
      <c r="V80" s="63"/>
      <c r="W80" s="3"/>
      <c r="X80" s="3"/>
      <c r="Y80" s="1"/>
      <c r="Z80" s="35"/>
      <c r="AA80" s="35"/>
      <c r="AB80" s="35"/>
      <c r="AC80" s="35"/>
      <c r="AD80" s="35"/>
      <c r="AE80" s="56"/>
      <c r="AF80" s="61"/>
      <c r="AG80" s="61"/>
      <c r="AH80" s="61"/>
    </row>
    <row r="81" spans="9:34" x14ac:dyDescent="0.3">
      <c r="I81">
        <v>43</v>
      </c>
      <c r="J81" s="37">
        <v>45951</v>
      </c>
      <c r="K81" s="37">
        <v>46009</v>
      </c>
      <c r="L81" s="3">
        <f t="shared" si="11"/>
        <v>58</v>
      </c>
      <c r="M81" s="3" t="s">
        <v>85</v>
      </c>
      <c r="N81" s="1">
        <v>14.1</v>
      </c>
      <c r="O81" s="1">
        <v>15.08</v>
      </c>
      <c r="P81" s="69">
        <v>0.70921984999999999</v>
      </c>
      <c r="Q81" s="2">
        <f t="shared" si="26"/>
        <v>9.9999998849999994</v>
      </c>
      <c r="R81" s="35">
        <f t="shared" si="27"/>
        <v>10.695035338</v>
      </c>
      <c r="S81" s="35">
        <f t="shared" si="28"/>
        <v>0.69503545300000091</v>
      </c>
      <c r="T81" s="56">
        <f t="shared" si="25"/>
        <v>6.9503546099290811E-2</v>
      </c>
      <c r="U81" s="37"/>
      <c r="V81" s="63"/>
      <c r="W81" s="3"/>
      <c r="X81" s="3"/>
      <c r="Y81" s="1"/>
      <c r="Z81" s="35"/>
      <c r="AA81" s="35"/>
      <c r="AB81" s="35"/>
      <c r="AC81" s="35"/>
      <c r="AD81" s="35"/>
      <c r="AE81" s="56"/>
      <c r="AF81" s="61"/>
      <c r="AG81" s="61"/>
      <c r="AH81" s="61"/>
    </row>
    <row r="82" spans="9:34" x14ac:dyDescent="0.3">
      <c r="I82">
        <v>44</v>
      </c>
      <c r="J82" s="37">
        <v>45898</v>
      </c>
      <c r="K82" s="37">
        <v>46029</v>
      </c>
      <c r="L82" s="3">
        <f>K82-J82</f>
        <v>131</v>
      </c>
      <c r="M82" s="3" t="s">
        <v>4</v>
      </c>
      <c r="N82" s="1">
        <v>83.4</v>
      </c>
      <c r="O82" s="1">
        <v>1.02</v>
      </c>
      <c r="P82" s="69">
        <v>0.11990407</v>
      </c>
      <c r="Q82" s="2">
        <f>P82*N82</f>
        <v>9.9999994380000015</v>
      </c>
      <c r="R82" s="35">
        <f t="shared" si="27"/>
        <v>0.1223021514</v>
      </c>
      <c r="S82" s="35">
        <f>R82-Q82</f>
        <v>-9.8776972866000019</v>
      </c>
      <c r="T82" s="56">
        <f>(R82/Q82)-1</f>
        <v>-0.98776978417266192</v>
      </c>
      <c r="U82" s="37"/>
      <c r="V82" s="63"/>
      <c r="W82" s="3"/>
      <c r="X82" s="3"/>
      <c r="Y82" s="1"/>
      <c r="Z82" s="35"/>
      <c r="AA82" s="35"/>
      <c r="AB82" s="35"/>
      <c r="AC82" s="35"/>
      <c r="AD82" s="35"/>
      <c r="AE82" s="56"/>
      <c r="AF82" s="61"/>
      <c r="AG82" s="61"/>
      <c r="AH82" s="61"/>
    </row>
    <row r="83" spans="9:34" ht="15" thickBot="1" x14ac:dyDescent="0.35">
      <c r="J83" s="37"/>
      <c r="K83" s="37"/>
      <c r="L83" s="3"/>
      <c r="M83" s="3"/>
      <c r="N83" s="1"/>
      <c r="O83" s="1"/>
      <c r="P83" s="69"/>
      <c r="Q83" s="2"/>
      <c r="R83" s="35"/>
      <c r="S83" s="35"/>
      <c r="T83" s="56"/>
      <c r="U83" s="37"/>
      <c r="V83" s="63"/>
      <c r="W83" s="3"/>
      <c r="X83" s="3"/>
      <c r="Y83" s="1"/>
      <c r="Z83" s="35"/>
      <c r="AA83" s="35"/>
      <c r="AB83" s="35"/>
      <c r="AC83" s="35"/>
      <c r="AD83" s="35"/>
      <c r="AE83" s="56"/>
      <c r="AF83" s="61"/>
      <c r="AG83" s="61"/>
      <c r="AH83" s="61"/>
    </row>
    <row r="84" spans="9:34" ht="15" thickBot="1" x14ac:dyDescent="0.35">
      <c r="M84" s="3"/>
      <c r="S84" s="43">
        <f>SUM(S39:S66)</f>
        <v>18.931096344740013</v>
      </c>
      <c r="U84" s="61"/>
      <c r="V84" s="61"/>
      <c r="W84" s="61"/>
    </row>
    <row r="85" spans="9:34" ht="15" thickBot="1" x14ac:dyDescent="0.35">
      <c r="S85" s="38"/>
      <c r="U85" s="61"/>
      <c r="V85" s="61"/>
      <c r="W85" s="61"/>
    </row>
    <row r="86" spans="9:34" x14ac:dyDescent="0.3">
      <c r="J86" s="116" t="s">
        <v>110</v>
      </c>
      <c r="K86" s="73" t="s">
        <v>105</v>
      </c>
      <c r="L86" s="74" t="s">
        <v>106</v>
      </c>
      <c r="M86" s="116" t="s">
        <v>109</v>
      </c>
      <c r="N86" s="73" t="s">
        <v>105</v>
      </c>
      <c r="O86" s="74" t="s">
        <v>106</v>
      </c>
      <c r="P86" s="116" t="s">
        <v>107</v>
      </c>
      <c r="Q86" s="73" t="s">
        <v>105</v>
      </c>
      <c r="R86" s="74" t="s">
        <v>106</v>
      </c>
      <c r="S86" s="116" t="s">
        <v>104</v>
      </c>
      <c r="T86" s="73" t="s">
        <v>105</v>
      </c>
      <c r="U86" s="74" t="s">
        <v>106</v>
      </c>
      <c r="V86" s="116" t="s">
        <v>112</v>
      </c>
      <c r="W86" s="73" t="s">
        <v>105</v>
      </c>
      <c r="X86" s="74" t="s">
        <v>106</v>
      </c>
    </row>
    <row r="87" spans="9:34" ht="15" thickBot="1" x14ac:dyDescent="0.35">
      <c r="J87" s="117"/>
      <c r="K87" s="83">
        <v>63.02</v>
      </c>
      <c r="L87" s="84">
        <f>K87*0.05</f>
        <v>3.1510000000000002</v>
      </c>
      <c r="M87" s="117"/>
      <c r="N87" s="83">
        <f>53.12+L109+K87</f>
        <v>119.21744107974</v>
      </c>
      <c r="O87" s="84">
        <f>N87*0.05</f>
        <v>5.9608720539869999</v>
      </c>
      <c r="P87" s="117"/>
      <c r="Q87" s="83">
        <f>O109+N87+80.23</f>
        <v>204.35398469184003</v>
      </c>
      <c r="R87" s="84">
        <f>Q87*0.05</f>
        <v>10.217699234592002</v>
      </c>
      <c r="S87" s="117"/>
      <c r="T87" s="83">
        <f>Q87+R109</f>
        <v>214.84420134214002</v>
      </c>
      <c r="U87" s="84">
        <f>T87*0.05</f>
        <v>10.742210067107003</v>
      </c>
      <c r="V87" s="117"/>
      <c r="W87" s="83">
        <f>T87+U109+111</f>
        <v>330.49208158464</v>
      </c>
      <c r="X87" s="84">
        <f>W87*0.05</f>
        <v>16.524604079232002</v>
      </c>
      <c r="Y87" s="61"/>
    </row>
    <row r="88" spans="9:34" ht="15" thickBot="1" x14ac:dyDescent="0.35">
      <c r="J88" s="75" t="s">
        <v>30</v>
      </c>
      <c r="K88" s="76" t="s">
        <v>73</v>
      </c>
      <c r="L88" s="77" t="s">
        <v>36</v>
      </c>
      <c r="M88" s="75" t="s">
        <v>30</v>
      </c>
      <c r="N88" s="76" t="s">
        <v>73</v>
      </c>
      <c r="O88" s="77" t="s">
        <v>36</v>
      </c>
      <c r="P88" s="11" t="s">
        <v>30</v>
      </c>
      <c r="Q88" s="71" t="s">
        <v>73</v>
      </c>
      <c r="R88" s="12" t="s">
        <v>36</v>
      </c>
      <c r="S88" s="11" t="s">
        <v>30</v>
      </c>
      <c r="T88" s="71" t="s">
        <v>73</v>
      </c>
      <c r="U88" s="12" t="s">
        <v>36</v>
      </c>
      <c r="V88" s="11" t="s">
        <v>30</v>
      </c>
      <c r="W88" s="71" t="s">
        <v>73</v>
      </c>
      <c r="X88" s="12" t="s">
        <v>36</v>
      </c>
      <c r="Y88" s="61"/>
    </row>
    <row r="89" spans="9:34" x14ac:dyDescent="0.3">
      <c r="I89" s="72">
        <v>1</v>
      </c>
      <c r="J89" s="3" t="s">
        <v>59</v>
      </c>
      <c r="K89" s="3">
        <v>13</v>
      </c>
      <c r="L89" s="64">
        <v>0.87627906960000068</v>
      </c>
      <c r="M89" s="3" t="s">
        <v>47</v>
      </c>
      <c r="N89" s="3">
        <v>1</v>
      </c>
      <c r="O89" s="64">
        <v>0.48523706699999991</v>
      </c>
      <c r="P89" s="3" t="s">
        <v>41</v>
      </c>
      <c r="Q89" s="3">
        <v>14</v>
      </c>
      <c r="R89" s="64">
        <v>1.8515625</v>
      </c>
      <c r="S89" s="3" t="s">
        <v>32</v>
      </c>
      <c r="T89" s="3">
        <v>15</v>
      </c>
      <c r="U89" s="64">
        <v>0.57477477420000156</v>
      </c>
      <c r="V89" s="3" t="s">
        <v>87</v>
      </c>
      <c r="W89" s="3">
        <v>17</v>
      </c>
      <c r="X89" s="78">
        <v>0.28834951199999992</v>
      </c>
      <c r="Y89" s="61"/>
    </row>
    <row r="90" spans="9:34" x14ac:dyDescent="0.3">
      <c r="I90" s="72">
        <v>2</v>
      </c>
      <c r="J90" s="3" t="s">
        <v>5</v>
      </c>
      <c r="K90" s="3">
        <v>13</v>
      </c>
      <c r="L90" s="64">
        <v>0.66678105199999926</v>
      </c>
      <c r="M90" s="3" t="s">
        <v>59</v>
      </c>
      <c r="N90" s="3">
        <v>2</v>
      </c>
      <c r="O90" s="64">
        <v>0.14066782920000009</v>
      </c>
      <c r="P90" s="3" t="s">
        <v>71</v>
      </c>
      <c r="Q90" s="3">
        <v>5</v>
      </c>
      <c r="R90" s="64">
        <v>0.3243783769999995</v>
      </c>
      <c r="S90" s="3" t="s">
        <v>81</v>
      </c>
      <c r="T90" s="3">
        <v>0</v>
      </c>
      <c r="U90" s="64">
        <v>0.71301243999999819</v>
      </c>
      <c r="V90" s="3" t="s">
        <v>78</v>
      </c>
      <c r="W90" s="3">
        <v>8</v>
      </c>
      <c r="X90" s="64">
        <v>0.54303988689999905</v>
      </c>
      <c r="Y90" s="61"/>
    </row>
    <row r="91" spans="9:34" x14ac:dyDescent="0.3">
      <c r="I91" s="72">
        <v>3</v>
      </c>
      <c r="J91" s="3" t="s">
        <v>29</v>
      </c>
      <c r="K91" s="3">
        <v>10</v>
      </c>
      <c r="L91" s="64">
        <v>1.564380958140001</v>
      </c>
      <c r="M91" s="3" t="s">
        <v>52</v>
      </c>
      <c r="N91" s="3">
        <v>2</v>
      </c>
      <c r="O91" s="64">
        <v>5.2252813700000122E-2</v>
      </c>
      <c r="P91" s="3" t="s">
        <v>64</v>
      </c>
      <c r="Q91" s="3">
        <v>13</v>
      </c>
      <c r="R91" s="65">
        <v>1.07</v>
      </c>
      <c r="S91" s="3" t="s">
        <v>83</v>
      </c>
      <c r="T91" s="62">
        <v>34</v>
      </c>
      <c r="U91" s="66">
        <v>0.51</v>
      </c>
      <c r="V91" s="91" t="s">
        <v>119</v>
      </c>
      <c r="W91" s="3">
        <v>6</v>
      </c>
      <c r="X91" s="64">
        <v>0.81003188250000058</v>
      </c>
      <c r="Y91" s="61"/>
    </row>
    <row r="92" spans="9:34" x14ac:dyDescent="0.3">
      <c r="I92" s="72">
        <v>4</v>
      </c>
      <c r="J92" s="36" t="s">
        <v>4</v>
      </c>
      <c r="K92" s="3">
        <v>7</v>
      </c>
      <c r="L92" s="64">
        <v>-3.0000000000000249E-2</v>
      </c>
      <c r="M92" s="37" t="s">
        <v>59</v>
      </c>
      <c r="N92" s="3">
        <v>3</v>
      </c>
      <c r="O92" s="64">
        <v>0.20775191159999995</v>
      </c>
      <c r="P92" s="3" t="s">
        <v>2</v>
      </c>
      <c r="Q92" s="62">
        <v>48</v>
      </c>
      <c r="R92" s="66">
        <v>0.19</v>
      </c>
      <c r="S92" s="3" t="s">
        <v>77</v>
      </c>
      <c r="T92" s="62">
        <v>40</v>
      </c>
      <c r="U92" s="66">
        <v>0.5</v>
      </c>
      <c r="V92" s="58" t="s">
        <v>122</v>
      </c>
      <c r="W92" s="3">
        <v>6</v>
      </c>
      <c r="X92" s="64">
        <v>0.41</v>
      </c>
    </row>
    <row r="93" spans="9:34" x14ac:dyDescent="0.3">
      <c r="I93" s="72">
        <v>5</v>
      </c>
      <c r="J93" s="61"/>
      <c r="K93" s="61"/>
      <c r="L93" s="61"/>
      <c r="M93" s="3" t="s">
        <v>61</v>
      </c>
      <c r="N93" s="3">
        <v>4</v>
      </c>
      <c r="O93" s="64">
        <v>0.47202796980000095</v>
      </c>
      <c r="P93" s="3" t="s">
        <v>72</v>
      </c>
      <c r="Q93" s="3">
        <v>1</v>
      </c>
      <c r="R93" s="65">
        <v>1.1676082854000001</v>
      </c>
      <c r="S93" s="3" t="s">
        <v>79</v>
      </c>
      <c r="T93" s="79">
        <v>18</v>
      </c>
      <c r="U93" s="78">
        <v>0.57999999999999996</v>
      </c>
      <c r="V93" s="3" t="s">
        <v>94</v>
      </c>
      <c r="W93" s="62">
        <v>65</v>
      </c>
      <c r="X93" s="66">
        <v>0.55000000000000004</v>
      </c>
    </row>
    <row r="94" spans="9:34" x14ac:dyDescent="0.3">
      <c r="I94" s="72">
        <v>6</v>
      </c>
      <c r="J94" s="61"/>
      <c r="K94" s="61"/>
      <c r="L94" s="61"/>
      <c r="M94" s="3" t="s">
        <v>52</v>
      </c>
      <c r="N94" s="3">
        <v>4</v>
      </c>
      <c r="O94" s="64">
        <v>0.50207278799999955</v>
      </c>
      <c r="P94" s="3" t="s">
        <v>25</v>
      </c>
      <c r="Q94" s="3">
        <v>10</v>
      </c>
      <c r="R94" s="65">
        <v>1.3</v>
      </c>
      <c r="S94" s="3" t="s">
        <v>101</v>
      </c>
      <c r="T94" s="79">
        <v>17</v>
      </c>
      <c r="U94" s="78">
        <v>0.01</v>
      </c>
      <c r="V94" s="3" t="s">
        <v>85</v>
      </c>
      <c r="W94" s="62">
        <v>58</v>
      </c>
      <c r="X94" s="66">
        <v>0.7</v>
      </c>
    </row>
    <row r="95" spans="9:34" x14ac:dyDescent="0.3">
      <c r="I95" s="72">
        <v>7</v>
      </c>
      <c r="J95" s="61"/>
      <c r="K95" s="61"/>
      <c r="L95" s="61"/>
      <c r="M95" s="3" t="s">
        <v>25</v>
      </c>
      <c r="N95" s="3">
        <v>7</v>
      </c>
      <c r="O95" s="64">
        <v>0.6918729360000011</v>
      </c>
      <c r="P95" s="3" t="s">
        <v>78</v>
      </c>
      <c r="Q95" s="3">
        <v>14</v>
      </c>
      <c r="R95" s="65">
        <v>0.71</v>
      </c>
      <c r="S95" s="3" t="str">
        <f>M73</f>
        <v>ASLE</v>
      </c>
      <c r="T95" s="79">
        <f>L73</f>
        <v>17</v>
      </c>
      <c r="U95" s="78">
        <f>S73</f>
        <v>0.613598639000001</v>
      </c>
      <c r="V95" s="108" t="s">
        <v>4</v>
      </c>
      <c r="W95" s="62">
        <v>131</v>
      </c>
      <c r="X95" s="66">
        <v>-9.8776972866000019</v>
      </c>
    </row>
    <row r="96" spans="9:34" x14ac:dyDescent="0.3">
      <c r="I96" s="72">
        <v>8</v>
      </c>
      <c r="J96" s="61"/>
      <c r="K96" s="61"/>
      <c r="L96" s="61"/>
      <c r="M96" s="3" t="s">
        <v>59</v>
      </c>
      <c r="N96" s="3">
        <v>7</v>
      </c>
      <c r="O96" s="64">
        <v>2.3546602968000006</v>
      </c>
      <c r="P96" s="3" t="s">
        <v>75</v>
      </c>
      <c r="Q96" s="79">
        <v>19</v>
      </c>
      <c r="R96" s="78">
        <v>0.51360089899999828</v>
      </c>
      <c r="S96" s="3" t="str">
        <f>M74</f>
        <v>RITM</v>
      </c>
      <c r="T96" s="62">
        <f>L74</f>
        <v>49</v>
      </c>
      <c r="U96" s="66">
        <f>S74</f>
        <v>0.54078826519999978</v>
      </c>
      <c r="V96" s="47"/>
      <c r="X96" s="61"/>
    </row>
    <row r="97" spans="9:24" x14ac:dyDescent="0.3">
      <c r="I97" s="72">
        <v>9</v>
      </c>
      <c r="J97" s="61"/>
      <c r="K97" s="61"/>
      <c r="L97" s="61"/>
      <c r="O97" s="61"/>
      <c r="P97" s="3" t="s">
        <v>97</v>
      </c>
      <c r="Q97" s="3">
        <v>14</v>
      </c>
      <c r="R97" s="65">
        <v>0.55650684700000141</v>
      </c>
      <c r="S97" s="3" t="str">
        <f>M75</f>
        <v>INTC</v>
      </c>
      <c r="T97" s="3">
        <f>L75</f>
        <v>12</v>
      </c>
      <c r="U97" s="68">
        <f>S75</f>
        <v>0.60570612409999924</v>
      </c>
      <c r="V97" s="47"/>
      <c r="X97" s="61"/>
    </row>
    <row r="98" spans="9:24" x14ac:dyDescent="0.3">
      <c r="I98" s="72">
        <v>10</v>
      </c>
      <c r="J98" s="61"/>
      <c r="K98" s="61"/>
      <c r="L98" s="61"/>
      <c r="O98" s="61"/>
      <c r="P98" s="3" t="s">
        <v>98</v>
      </c>
      <c r="Q98" s="3">
        <v>13</v>
      </c>
      <c r="R98" s="65">
        <v>0.4854368890000007</v>
      </c>
      <c r="S98" s="3"/>
      <c r="T98" s="3"/>
      <c r="U98" s="68"/>
      <c r="V98" s="47"/>
      <c r="X98" s="61"/>
    </row>
    <row r="99" spans="9:24" x14ac:dyDescent="0.3">
      <c r="I99" s="72">
        <v>11</v>
      </c>
      <c r="J99" s="61"/>
      <c r="K99" s="61"/>
      <c r="L99" s="61"/>
      <c r="P99" s="3" t="s">
        <v>69</v>
      </c>
      <c r="Q99" s="62">
        <v>27</v>
      </c>
      <c r="R99" s="66">
        <v>0.51</v>
      </c>
      <c r="S99" s="3"/>
      <c r="T99" s="79"/>
      <c r="U99" s="68"/>
      <c r="V99" s="61"/>
      <c r="W99" s="61"/>
      <c r="X99" s="61"/>
    </row>
    <row r="100" spans="9:24" x14ac:dyDescent="0.3">
      <c r="I100" s="72">
        <v>12</v>
      </c>
      <c r="J100" s="61"/>
      <c r="K100" s="61"/>
      <c r="L100" s="61"/>
      <c r="P100" s="3" t="s">
        <v>88</v>
      </c>
      <c r="Q100" s="3">
        <v>2</v>
      </c>
      <c r="R100" s="65">
        <v>0.52955664870000163</v>
      </c>
      <c r="S100" s="3"/>
      <c r="T100" s="79"/>
      <c r="U100" s="68"/>
      <c r="X100" s="61"/>
    </row>
    <row r="101" spans="9:24" x14ac:dyDescent="0.3">
      <c r="I101" s="72">
        <v>13</v>
      </c>
      <c r="J101" s="61"/>
      <c r="K101" s="61"/>
      <c r="L101" s="61"/>
      <c r="P101" s="3" t="s">
        <v>52</v>
      </c>
      <c r="Q101" s="79">
        <v>17</v>
      </c>
      <c r="R101" s="78">
        <v>0.5</v>
      </c>
      <c r="S101" s="3"/>
      <c r="T101" s="79"/>
      <c r="U101" s="68"/>
      <c r="X101" s="61"/>
    </row>
    <row r="102" spans="9:24" x14ac:dyDescent="0.3">
      <c r="I102" s="72">
        <v>14</v>
      </c>
      <c r="L102" s="34"/>
      <c r="M102" s="34"/>
      <c r="N102" s="34"/>
      <c r="O102" s="47"/>
      <c r="P102" s="3" t="s">
        <v>100</v>
      </c>
      <c r="Q102" s="3">
        <v>6</v>
      </c>
      <c r="R102" s="65">
        <v>5.2999999999999999E-2</v>
      </c>
      <c r="S102" s="3"/>
      <c r="T102" s="79"/>
      <c r="U102" s="68"/>
      <c r="V102" s="47"/>
      <c r="X102" s="61"/>
    </row>
    <row r="103" spans="9:24" x14ac:dyDescent="0.3">
      <c r="I103" s="72">
        <v>15</v>
      </c>
      <c r="L103" s="34"/>
      <c r="M103" s="34"/>
      <c r="N103" s="34"/>
      <c r="O103" s="47"/>
      <c r="P103" s="3" t="s">
        <v>99</v>
      </c>
      <c r="Q103" s="3">
        <v>7</v>
      </c>
      <c r="R103" s="65">
        <v>0.23856620419999963</v>
      </c>
      <c r="S103" s="3"/>
      <c r="T103" s="79"/>
      <c r="U103" s="68"/>
      <c r="V103" s="47"/>
      <c r="X103" s="61"/>
    </row>
    <row r="104" spans="9:24" x14ac:dyDescent="0.3">
      <c r="I104" s="72">
        <v>16</v>
      </c>
      <c r="L104" s="34"/>
      <c r="M104" s="34"/>
      <c r="N104" s="34"/>
      <c r="O104" s="47"/>
      <c r="P104" s="3" t="s">
        <v>70</v>
      </c>
      <c r="Q104" s="62">
        <v>35</v>
      </c>
      <c r="R104" s="66">
        <v>0.49</v>
      </c>
      <c r="S104" s="3"/>
      <c r="T104" s="79"/>
      <c r="U104" s="68"/>
      <c r="V104" s="47"/>
      <c r="X104" s="61"/>
    </row>
    <row r="105" spans="9:24" x14ac:dyDescent="0.3">
      <c r="I105" s="72">
        <v>17</v>
      </c>
      <c r="L105" s="34"/>
      <c r="M105" s="34"/>
      <c r="N105" s="34"/>
      <c r="O105" s="47"/>
      <c r="P105" s="47"/>
      <c r="Q105" s="3"/>
      <c r="R105" s="68"/>
      <c r="S105" s="47"/>
      <c r="U105" s="61"/>
      <c r="V105" s="47"/>
      <c r="X105" s="61"/>
    </row>
    <row r="106" spans="9:24" x14ac:dyDescent="0.3">
      <c r="I106" s="72">
        <v>18</v>
      </c>
      <c r="L106" s="34"/>
      <c r="M106" s="34"/>
      <c r="N106" s="34"/>
      <c r="O106" s="47"/>
      <c r="P106" s="47"/>
      <c r="Q106" s="3"/>
      <c r="R106" s="68"/>
      <c r="S106" s="47"/>
      <c r="U106" s="61"/>
      <c r="V106" s="47"/>
      <c r="X106" s="61"/>
    </row>
    <row r="107" spans="9:24" x14ac:dyDescent="0.3">
      <c r="I107" s="72">
        <v>19</v>
      </c>
      <c r="L107" s="34"/>
      <c r="M107" s="34"/>
      <c r="N107" s="34"/>
      <c r="O107" s="47"/>
      <c r="P107" s="47"/>
      <c r="Q107" s="3"/>
      <c r="R107" s="68"/>
      <c r="S107" s="47"/>
      <c r="U107" s="61"/>
      <c r="V107" s="47"/>
      <c r="X107" s="61"/>
    </row>
    <row r="108" spans="9:24" x14ac:dyDescent="0.3">
      <c r="I108" s="72">
        <v>20</v>
      </c>
      <c r="L108" s="34"/>
      <c r="M108" s="34"/>
      <c r="N108" s="34"/>
      <c r="O108" s="47"/>
      <c r="P108" s="47"/>
      <c r="Q108" s="3"/>
      <c r="R108" s="68"/>
      <c r="S108" s="47"/>
      <c r="U108" s="61"/>
      <c r="V108" s="47"/>
      <c r="X108" s="61"/>
    </row>
    <row r="109" spans="9:24" x14ac:dyDescent="0.3">
      <c r="I109" s="3" t="s">
        <v>74</v>
      </c>
      <c r="K109" s="80">
        <f>COUNT(K89:K108)</f>
        <v>4</v>
      </c>
      <c r="L109" s="81">
        <f>SUM(L89:L108)</f>
        <v>3.0774410797400007</v>
      </c>
      <c r="M109" s="34"/>
      <c r="N109" s="80">
        <f>COUNT(N89:N108)</f>
        <v>8</v>
      </c>
      <c r="O109" s="81">
        <f>SUM(O89:O108)</f>
        <v>4.9065436121000019</v>
      </c>
      <c r="P109" s="47"/>
      <c r="Q109" s="80">
        <f>COUNT(Q89:Q108)</f>
        <v>16</v>
      </c>
      <c r="R109" s="81">
        <f>SUM(R89:R108)</f>
        <v>10.490216650300002</v>
      </c>
      <c r="S109" s="47"/>
      <c r="T109" s="80">
        <f>COUNT(T89:T108)</f>
        <v>9</v>
      </c>
      <c r="U109" s="81">
        <f>SUM(U89:U108)</f>
        <v>4.6478802424999994</v>
      </c>
      <c r="V109" s="47"/>
      <c r="W109" s="80">
        <f>COUNT(W89:W108)</f>
        <v>7</v>
      </c>
      <c r="X109" s="81">
        <f>SUM(X89:X108)</f>
        <v>-6.5762760052000022</v>
      </c>
    </row>
    <row r="110" spans="9:24" x14ac:dyDescent="0.3">
      <c r="K110" s="51" t="s">
        <v>108</v>
      </c>
      <c r="L110" s="85">
        <f>L109-L87</f>
        <v>-7.355892025999955E-2</v>
      </c>
      <c r="M110" s="34"/>
      <c r="N110" s="51" t="s">
        <v>108</v>
      </c>
      <c r="O110" s="85">
        <f>O109-O87</f>
        <v>-1.054328441886998</v>
      </c>
      <c r="P110" s="47"/>
      <c r="Q110" s="51" t="s">
        <v>108</v>
      </c>
      <c r="R110" s="90">
        <f>R109-R87</f>
        <v>0.27251741570800014</v>
      </c>
      <c r="S110" s="47"/>
      <c r="T110" s="51" t="s">
        <v>108</v>
      </c>
      <c r="U110" s="85">
        <f>U109-U87</f>
        <v>-6.0943298246070032</v>
      </c>
      <c r="V110" s="47"/>
      <c r="W110" s="51" t="s">
        <v>108</v>
      </c>
      <c r="X110" s="85">
        <f>X109-X87</f>
        <v>-23.100880084432006</v>
      </c>
    </row>
    <row r="111" spans="9:24" x14ac:dyDescent="0.3">
      <c r="K111" s="2" t="s">
        <v>116</v>
      </c>
      <c r="L111" s="86">
        <f>L109/L87</f>
        <v>0.97665537281497949</v>
      </c>
      <c r="M111" s="2"/>
      <c r="N111" s="2" t="s">
        <v>111</v>
      </c>
      <c r="O111" s="86">
        <f>O109/O87</f>
        <v>0.82312513465512183</v>
      </c>
      <c r="P111" s="2"/>
      <c r="Q111" s="2" t="s">
        <v>111</v>
      </c>
      <c r="R111" s="86">
        <f>R109/R87</f>
        <v>1.0266711134719442</v>
      </c>
      <c r="T111" s="2" t="s">
        <v>111</v>
      </c>
      <c r="U111" s="86">
        <f>U109/U87</f>
        <v>0.4326744881606775</v>
      </c>
      <c r="W111" s="2" t="s">
        <v>111</v>
      </c>
      <c r="X111" s="86">
        <f>X109/X87</f>
        <v>-0.3979687485199731</v>
      </c>
    </row>
    <row r="112" spans="9:24" x14ac:dyDescent="0.3">
      <c r="K112" t="s">
        <v>114</v>
      </c>
      <c r="L112" s="1">
        <f>K87*0.05</f>
        <v>3.1510000000000002</v>
      </c>
      <c r="M112" s="47"/>
      <c r="N112" t="s">
        <v>114</v>
      </c>
      <c r="O112" s="1">
        <f>N87*0.05</f>
        <v>5.9608720539869999</v>
      </c>
      <c r="Q112" t="s">
        <v>114</v>
      </c>
      <c r="R112" s="1">
        <f>Q87*0.05</f>
        <v>10.217699234592002</v>
      </c>
      <c r="T112" t="s">
        <v>114</v>
      </c>
      <c r="U112" s="1">
        <f>T87*0.05</f>
        <v>10.742210067107003</v>
      </c>
      <c r="W112" t="s">
        <v>114</v>
      </c>
      <c r="X112" s="1">
        <f>W87*0.05</f>
        <v>16.524604079232002</v>
      </c>
    </row>
    <row r="113" spans="8:24" x14ac:dyDescent="0.3">
      <c r="H113" t="s">
        <v>118</v>
      </c>
      <c r="I113" s="92">
        <f>AVERAGE(L113,O113,R113,U113,X113)</f>
        <v>2.8611573605827501E-2</v>
      </c>
      <c r="K113" t="s">
        <v>117</v>
      </c>
      <c r="L113" s="57">
        <f>L109/K87</f>
        <v>4.883276864074898E-2</v>
      </c>
      <c r="M113" s="47"/>
      <c r="N113" t="s">
        <v>117</v>
      </c>
      <c r="O113" s="57">
        <f>O109/N87</f>
        <v>4.1156256732756094E-2</v>
      </c>
      <c r="Q113" t="s">
        <v>117</v>
      </c>
      <c r="R113" s="57">
        <f>R109/Q87</f>
        <v>5.1333555673597216E-2</v>
      </c>
      <c r="T113" t="s">
        <v>117</v>
      </c>
      <c r="U113" s="57">
        <f>U109/T87</f>
        <v>2.1633724408033878E-2</v>
      </c>
      <c r="W113" t="s">
        <v>117</v>
      </c>
      <c r="X113" s="57">
        <f>X109/W87</f>
        <v>-1.9898437425998658E-2</v>
      </c>
    </row>
    <row r="114" spans="8:24" x14ac:dyDescent="0.3">
      <c r="L114" s="34"/>
      <c r="M114" s="47"/>
      <c r="O114" s="47"/>
      <c r="R114" s="48"/>
    </row>
    <row r="115" spans="8:24" x14ac:dyDescent="0.3">
      <c r="L115" s="34"/>
      <c r="M115" s="47"/>
      <c r="O115" s="47"/>
      <c r="R115" s="48"/>
    </row>
    <row r="116" spans="8:24" x14ac:dyDescent="0.3">
      <c r="L116" s="49"/>
      <c r="M116" s="50"/>
      <c r="N116" s="51"/>
      <c r="O116" s="50"/>
      <c r="P116" s="51"/>
      <c r="R116" s="48"/>
    </row>
    <row r="117" spans="8:24" x14ac:dyDescent="0.3">
      <c r="K117">
        <v>1</v>
      </c>
      <c r="L117" s="88">
        <v>100</v>
      </c>
      <c r="M117" s="93">
        <f>I113</f>
        <v>2.8611573605827501E-2</v>
      </c>
      <c r="N117" s="89">
        <f>(1+M117)*L117</f>
        <v>102.86115736058275</v>
      </c>
      <c r="O117" s="53"/>
      <c r="P117" s="54"/>
      <c r="R117" s="48"/>
    </row>
    <row r="118" spans="8:24" x14ac:dyDescent="0.3">
      <c r="K118">
        <v>2</v>
      </c>
      <c r="L118" s="88">
        <f>N117</f>
        <v>102.86115736058275</v>
      </c>
      <c r="M118" s="93">
        <f>$M$117</f>
        <v>2.8611573605827501E-2</v>
      </c>
      <c r="N118" s="89">
        <f>(1+M118)*L118</f>
        <v>105.80417693558566</v>
      </c>
      <c r="O118" s="53"/>
      <c r="P118" s="54"/>
      <c r="Q118">
        <v>4.88</v>
      </c>
      <c r="R118" s="48"/>
    </row>
    <row r="119" spans="8:24" x14ac:dyDescent="0.3">
      <c r="K119">
        <v>3</v>
      </c>
      <c r="L119" s="88">
        <f t="shared" ref="L119:L128" si="29">N118</f>
        <v>105.80417693558566</v>
      </c>
      <c r="M119" s="93">
        <f t="shared" ref="M119:M128" si="30">$M$117</f>
        <v>2.8611573605827501E-2</v>
      </c>
      <c r="N119" s="89">
        <f t="shared" ref="N119:N128" si="31">(1+M119)*L119</f>
        <v>108.83140093178216</v>
      </c>
      <c r="O119" s="53"/>
      <c r="P119" s="54"/>
      <c r="Q119">
        <v>4.21</v>
      </c>
      <c r="R119" s="48"/>
    </row>
    <row r="120" spans="8:24" x14ac:dyDescent="0.3">
      <c r="K120">
        <v>4</v>
      </c>
      <c r="L120" s="88">
        <f t="shared" si="29"/>
        <v>108.83140093178216</v>
      </c>
      <c r="M120" s="93">
        <f t="shared" si="30"/>
        <v>2.8611573605827501E-2</v>
      </c>
      <c r="N120" s="89">
        <f t="shared" si="31"/>
        <v>111.94523857016716</v>
      </c>
      <c r="O120" s="53"/>
      <c r="P120" s="54"/>
      <c r="Q120">
        <v>5.13</v>
      </c>
      <c r="R120" s="48"/>
    </row>
    <row r="121" spans="8:24" x14ac:dyDescent="0.3">
      <c r="K121">
        <v>5</v>
      </c>
      <c r="L121" s="88">
        <f t="shared" si="29"/>
        <v>111.94523857016716</v>
      </c>
      <c r="M121" s="93">
        <f t="shared" si="30"/>
        <v>2.8611573605827501E-2</v>
      </c>
      <c r="N121" s="89">
        <f t="shared" si="31"/>
        <v>115.14816800333942</v>
      </c>
      <c r="O121" s="53"/>
      <c r="P121" s="54"/>
      <c r="Q121">
        <v>2.16</v>
      </c>
      <c r="R121" s="48"/>
    </row>
    <row r="122" spans="8:24" x14ac:dyDescent="0.3">
      <c r="K122">
        <v>6</v>
      </c>
      <c r="L122" s="88">
        <f t="shared" si="29"/>
        <v>115.14816800333942</v>
      </c>
      <c r="M122" s="93">
        <f t="shared" si="30"/>
        <v>2.8611573605827501E-2</v>
      </c>
      <c r="N122" s="89">
        <f t="shared" si="31"/>
        <v>118.44273828774315</v>
      </c>
      <c r="O122" s="53"/>
      <c r="P122" s="54"/>
      <c r="R122" s="48"/>
    </row>
    <row r="123" spans="8:24" x14ac:dyDescent="0.3">
      <c r="K123">
        <v>7</v>
      </c>
      <c r="L123" s="88">
        <f t="shared" si="29"/>
        <v>118.44273828774315</v>
      </c>
      <c r="M123" s="93">
        <f t="shared" si="30"/>
        <v>2.8611573605827501E-2</v>
      </c>
      <c r="N123" s="89">
        <f t="shared" si="31"/>
        <v>121.83157141233868</v>
      </c>
      <c r="O123" s="53"/>
      <c r="P123" s="54"/>
      <c r="R123" s="48"/>
    </row>
    <row r="124" spans="8:24" x14ac:dyDescent="0.3">
      <c r="K124">
        <v>8</v>
      </c>
      <c r="L124" s="88">
        <f t="shared" si="29"/>
        <v>121.83157141233868</v>
      </c>
      <c r="M124" s="93">
        <f t="shared" si="30"/>
        <v>2.8611573605827501E-2</v>
      </c>
      <c r="N124" s="89">
        <f t="shared" si="31"/>
        <v>125.31736438531642</v>
      </c>
      <c r="O124" s="53"/>
      <c r="P124" s="54"/>
      <c r="R124" s="48"/>
    </row>
    <row r="125" spans="8:24" x14ac:dyDescent="0.3">
      <c r="K125">
        <v>9</v>
      </c>
      <c r="L125" s="88">
        <f t="shared" si="29"/>
        <v>125.31736438531642</v>
      </c>
      <c r="M125" s="93">
        <f t="shared" si="30"/>
        <v>2.8611573605827501E-2</v>
      </c>
      <c r="N125" s="89">
        <f t="shared" si="31"/>
        <v>128.9028913805152</v>
      </c>
      <c r="O125" s="53"/>
      <c r="P125" s="54"/>
      <c r="R125" s="48"/>
    </row>
    <row r="126" spans="8:24" x14ac:dyDescent="0.3">
      <c r="K126">
        <v>10</v>
      </c>
      <c r="L126" s="88">
        <f t="shared" si="29"/>
        <v>128.9028913805152</v>
      </c>
      <c r="M126" s="93">
        <f t="shared" si="30"/>
        <v>2.8611573605827501E-2</v>
      </c>
      <c r="N126" s="89">
        <f t="shared" si="31"/>
        <v>132.59100594525279</v>
      </c>
      <c r="O126" s="53"/>
      <c r="P126" s="54"/>
      <c r="R126" s="48"/>
    </row>
    <row r="127" spans="8:24" x14ac:dyDescent="0.3">
      <c r="K127">
        <v>11</v>
      </c>
      <c r="L127" s="88">
        <f t="shared" si="29"/>
        <v>132.59100594525279</v>
      </c>
      <c r="M127" s="93">
        <f t="shared" si="30"/>
        <v>2.8611573605827501E-2</v>
      </c>
      <c r="N127" s="89">
        <f t="shared" si="31"/>
        <v>136.3846432713261</v>
      </c>
      <c r="O127" s="53"/>
      <c r="P127" s="54"/>
      <c r="R127" s="48"/>
    </row>
    <row r="128" spans="8:24" x14ac:dyDescent="0.3">
      <c r="K128">
        <v>12</v>
      </c>
      <c r="L128" s="88">
        <f t="shared" si="29"/>
        <v>136.3846432713261</v>
      </c>
      <c r="M128" s="93">
        <f t="shared" si="30"/>
        <v>2.8611573605827501E-2</v>
      </c>
      <c r="N128" s="89">
        <f t="shared" si="31"/>
        <v>140.28682253098816</v>
      </c>
      <c r="O128" s="50"/>
      <c r="P128" s="51"/>
      <c r="R128" s="48"/>
    </row>
    <row r="129" spans="12:18" x14ac:dyDescent="0.3">
      <c r="L129" s="87"/>
      <c r="M129" s="53"/>
      <c r="N129" s="54"/>
      <c r="O129" s="53"/>
      <c r="P129" s="54"/>
      <c r="R129" s="48"/>
    </row>
    <row r="130" spans="12:18" x14ac:dyDescent="0.3">
      <c r="L130" s="87"/>
      <c r="M130" s="53"/>
      <c r="N130" s="54"/>
      <c r="O130" s="53"/>
      <c r="P130" s="54"/>
      <c r="R130" s="48"/>
    </row>
    <row r="131" spans="12:18" x14ac:dyDescent="0.3">
      <c r="L131" s="87"/>
      <c r="M131" s="53"/>
      <c r="N131" s="54"/>
      <c r="O131" s="53"/>
      <c r="P131" s="54"/>
      <c r="R131" s="48"/>
    </row>
    <row r="132" spans="12:18" x14ac:dyDescent="0.3">
      <c r="L132" s="52"/>
      <c r="M132" s="53"/>
      <c r="N132" s="54"/>
      <c r="O132" s="53"/>
      <c r="P132" s="54"/>
      <c r="R132" s="48"/>
    </row>
    <row r="133" spans="12:18" x14ac:dyDescent="0.3">
      <c r="L133" s="52"/>
      <c r="M133" s="53"/>
      <c r="N133" s="54"/>
      <c r="O133" s="53"/>
      <c r="P133" s="54"/>
      <c r="R133" s="48"/>
    </row>
    <row r="134" spans="12:18" x14ac:dyDescent="0.3">
      <c r="L134" s="52"/>
      <c r="M134" s="53"/>
      <c r="N134" s="54"/>
      <c r="O134" s="53"/>
      <c r="P134" s="54"/>
      <c r="R134" s="48"/>
    </row>
    <row r="135" spans="12:18" x14ac:dyDescent="0.3">
      <c r="L135" s="52"/>
      <c r="M135" s="53"/>
      <c r="N135" s="54"/>
      <c r="O135" s="53"/>
      <c r="P135" s="54"/>
      <c r="R135" s="48"/>
    </row>
    <row r="136" spans="12:18" x14ac:dyDescent="0.3">
      <c r="L136" s="52"/>
      <c r="M136" s="53"/>
      <c r="N136" s="54"/>
      <c r="O136" s="53"/>
      <c r="P136" s="54"/>
      <c r="R136" s="48"/>
    </row>
    <row r="137" spans="12:18" x14ac:dyDescent="0.3">
      <c r="L137" s="52"/>
      <c r="M137" s="53"/>
      <c r="N137" s="54"/>
      <c r="O137" s="53"/>
      <c r="P137" s="54"/>
      <c r="R137" s="48"/>
    </row>
    <row r="138" spans="12:18" x14ac:dyDescent="0.3">
      <c r="L138" s="52"/>
      <c r="M138" s="53"/>
      <c r="N138" s="54"/>
      <c r="O138" s="53"/>
      <c r="P138" s="54"/>
      <c r="R138" s="48"/>
    </row>
    <row r="139" spans="12:18" x14ac:dyDescent="0.3">
      <c r="L139" s="52"/>
      <c r="M139" s="53"/>
      <c r="N139" s="54"/>
      <c r="O139" s="53"/>
      <c r="P139" s="54"/>
    </row>
    <row r="140" spans="12:18" x14ac:dyDescent="0.3">
      <c r="L140" s="49"/>
      <c r="M140" s="50"/>
      <c r="N140" s="51"/>
      <c r="O140" s="50"/>
      <c r="P140" s="51"/>
    </row>
    <row r="141" spans="12:18" x14ac:dyDescent="0.3">
      <c r="L141" s="52"/>
      <c r="M141" s="53"/>
      <c r="N141" s="54"/>
      <c r="O141" s="53"/>
      <c r="P141" s="54"/>
    </row>
    <row r="142" spans="12:18" x14ac:dyDescent="0.3">
      <c r="L142" s="52"/>
      <c r="M142" s="53"/>
      <c r="N142" s="54"/>
      <c r="O142" s="53"/>
      <c r="P142" s="54"/>
    </row>
    <row r="143" spans="12:18" x14ac:dyDescent="0.3">
      <c r="L143" s="52"/>
      <c r="M143" s="53"/>
      <c r="N143" s="54"/>
      <c r="O143" s="53"/>
      <c r="P143" s="54"/>
    </row>
    <row r="144" spans="12:18" x14ac:dyDescent="0.3">
      <c r="L144" s="52"/>
      <c r="M144" s="53"/>
      <c r="N144" s="54"/>
      <c r="O144" s="53"/>
      <c r="P144" s="54"/>
    </row>
    <row r="145" spans="12:16" x14ac:dyDescent="0.3">
      <c r="L145" s="52"/>
      <c r="M145" s="53"/>
      <c r="N145" s="54"/>
      <c r="O145" s="53"/>
      <c r="P145" s="54"/>
    </row>
  </sheetData>
  <sortState xmlns:xlrd2="http://schemas.microsoft.com/office/spreadsheetml/2017/richdata2" ref="K2:Q4">
    <sortCondition ref="K2:K4"/>
  </sortState>
  <mergeCells count="5">
    <mergeCell ref="S86:S87"/>
    <mergeCell ref="P86:P87"/>
    <mergeCell ref="M86:M87"/>
    <mergeCell ref="J86:J87"/>
    <mergeCell ref="V86:V87"/>
  </mergeCells>
  <phoneticPr fontId="7" type="noConversion"/>
  <pageMargins left="0.7" right="0.7" top="0.75" bottom="0.75" header="0.3" footer="0.3"/>
  <pageSetup paperSize="0" orientation="portrait" horizontalDpi="0" verticalDpi="0" copie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2026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Gandara Marmolejo</dc:creator>
  <cp:lastModifiedBy>Gerardo Gandara Marmolejo</cp:lastModifiedBy>
  <dcterms:created xsi:type="dcterms:W3CDTF">2025-08-14T01:58:50Z</dcterms:created>
  <dcterms:modified xsi:type="dcterms:W3CDTF">2026-07-15T19:20:49Z</dcterms:modified>
</cp:coreProperties>
</file>